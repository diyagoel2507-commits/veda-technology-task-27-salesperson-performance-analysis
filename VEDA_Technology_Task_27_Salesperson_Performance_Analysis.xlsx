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m\Desktop\"/>
    </mc:Choice>
  </mc:AlternateContent>
  <xr:revisionPtr revIDLastSave="0" documentId="8_{BA50B620-1515-4104-9234-66245D4CCB71}" xr6:coauthVersionLast="47" xr6:coauthVersionMax="47" xr10:uidLastSave="{00000000-0000-0000-0000-000000000000}"/>
  <bookViews>
    <workbookView xWindow="-110" yWindow="-110" windowWidth="19420" windowHeight="10300" firstSheet="1" activeTab="3" xr2:uid="{32619BCD-5404-4F89-A26A-FB48317AE87E}"/>
  </bookViews>
  <sheets>
    <sheet name="Raw_Data" sheetId="1" r:id="rId1"/>
    <sheet name="Analysis_Data" sheetId="3" r:id="rId2"/>
    <sheet name="Salesperson_Summary" sheetId="4" r:id="rId3"/>
    <sheet name="Dashboard" sheetId="5" r:id="rId4"/>
    <sheet name="Territory_Summary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5" l="1"/>
  <c r="P4" i="5"/>
  <c r="B3" i="6"/>
  <c r="B4" i="6"/>
  <c r="B5" i="6"/>
  <c r="B2" i="6"/>
  <c r="P7" i="5"/>
  <c r="K7" i="5"/>
  <c r="F7" i="5"/>
  <c r="A7" i="5"/>
  <c r="F4" i="5"/>
  <c r="A4" i="5"/>
  <c r="M3" i="4"/>
  <c r="M4" i="4"/>
  <c r="M5" i="4"/>
  <c r="M6" i="4"/>
  <c r="M7" i="4"/>
  <c r="M8" i="4"/>
  <c r="M9" i="4"/>
  <c r="I2" i="4"/>
  <c r="J9" i="4"/>
  <c r="J4" i="4"/>
  <c r="I6" i="4"/>
  <c r="J3" i="4"/>
  <c r="I4" i="4"/>
  <c r="I9" i="4"/>
  <c r="J5" i="4"/>
  <c r="J8" i="4"/>
  <c r="J6" i="4"/>
  <c r="I5" i="4"/>
  <c r="I7" i="4"/>
  <c r="J7" i="4"/>
  <c r="I3" i="4"/>
  <c r="I8" i="4"/>
  <c r="J2" i="4"/>
  <c r="M2" i="4"/>
  <c r="L2" i="4" a="1"/>
  <c r="L3" i="4" a="1"/>
  <c r="L4" i="4" a="1"/>
  <c r="L5" i="4" a="1"/>
  <c r="L6" i="4" a="1"/>
  <c r="L7" i="4" a="1"/>
  <c r="L8" i="4" a="1"/>
  <c r="L9" i="4" a="1"/>
  <c r="K2" i="4" a="1"/>
  <c r="K3" i="4" a="1"/>
  <c r="K4" i="4" a="1"/>
  <c r="K5" i="4" a="1"/>
  <c r="K6" i="4" a="1"/>
  <c r="K7" i="4" a="1"/>
  <c r="K8" i="4" a="1"/>
  <c r="K9" i="4" a="1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D3" i="4" a="1"/>
  <c r="D4" i="4" a="1"/>
  <c r="D5" i="4" a="1"/>
  <c r="D6" i="4" a="1"/>
  <c r="D7" i="4" a="1"/>
  <c r="D8" i="4" a="1"/>
  <c r="D9" i="4" a="1"/>
  <c r="D2" i="4" a="1"/>
  <c r="C3" i="4" a="1"/>
  <c r="C4" i="4" a="1"/>
  <c r="C5" i="4" a="1"/>
  <c r="C6" i="4" a="1"/>
  <c r="C7" i="4" a="1"/>
  <c r="C8" i="4" a="1"/>
  <c r="C9" i="4" a="1"/>
  <c r="C2" i="4" a="1"/>
  <c r="F3" i="4"/>
  <c r="F4" i="4"/>
  <c r="F5" i="4"/>
  <c r="F6" i="4"/>
  <c r="F7" i="4"/>
  <c r="F8" i="4"/>
  <c r="F9" i="4"/>
  <c r="F2" i="4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X2" i="3"/>
  <c r="AB2" i="3" s="1"/>
  <c r="X3" i="3"/>
  <c r="AB3" i="3" s="1"/>
  <c r="X4" i="3"/>
  <c r="AB4" i="3" s="1"/>
  <c r="X5" i="3"/>
  <c r="AB5" i="3" s="1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AB38" i="3" s="1"/>
  <c r="X39" i="3"/>
  <c r="AB39" i="3" s="1"/>
  <c r="X40" i="3"/>
  <c r="AB40" i="3" s="1"/>
  <c r="X41" i="3"/>
  <c r="AB41" i="3" s="1"/>
  <c r="X42" i="3"/>
  <c r="AB42" i="3" s="1"/>
  <c r="X43" i="3"/>
  <c r="AB43" i="3" s="1"/>
  <c r="X44" i="3"/>
  <c r="AB44" i="3" s="1"/>
  <c r="X45" i="3"/>
  <c r="AB45" i="3" s="1"/>
  <c r="X46" i="3"/>
  <c r="AB46" i="3" s="1"/>
  <c r="X47" i="3"/>
  <c r="AB47" i="3" s="1"/>
  <c r="X48" i="3"/>
  <c r="AB48" i="3" s="1"/>
  <c r="X49" i="3"/>
  <c r="AB49" i="3" s="1"/>
  <c r="X50" i="3"/>
  <c r="AB50" i="3" s="1"/>
  <c r="X51" i="3"/>
  <c r="AB51" i="3" s="1"/>
  <c r="X52" i="3"/>
  <c r="AB52" i="3" s="1"/>
  <c r="X53" i="3"/>
  <c r="AB53" i="3" s="1"/>
  <c r="X54" i="3"/>
  <c r="AB54" i="3" s="1"/>
  <c r="X55" i="3"/>
  <c r="AB55" i="3" s="1"/>
  <c r="X56" i="3"/>
  <c r="AB56" i="3" s="1"/>
  <c r="X57" i="3"/>
  <c r="AB57" i="3" s="1"/>
  <c r="X58" i="3"/>
  <c r="AB58" i="3" s="1"/>
  <c r="X59" i="3"/>
  <c r="AB59" i="3" s="1"/>
  <c r="X60" i="3"/>
  <c r="AB60" i="3" s="1"/>
  <c r="X61" i="3"/>
  <c r="AB61" i="3" s="1"/>
  <c r="X62" i="3"/>
  <c r="AB62" i="3" s="1"/>
  <c r="X63" i="3"/>
  <c r="AB63" i="3" s="1"/>
  <c r="X64" i="3"/>
  <c r="AB64" i="3" s="1"/>
  <c r="X65" i="3"/>
  <c r="AB65" i="3" s="1"/>
  <c r="X66" i="3"/>
  <c r="AB66" i="3" s="1"/>
  <c r="X67" i="3"/>
  <c r="AB67" i="3" s="1"/>
  <c r="X68" i="3"/>
  <c r="AB68" i="3" s="1"/>
  <c r="X69" i="3"/>
  <c r="AB69" i="3" s="1"/>
  <c r="X70" i="3"/>
  <c r="AB70" i="3" s="1"/>
  <c r="X71" i="3"/>
  <c r="AB71" i="3" s="1"/>
  <c r="X72" i="3"/>
  <c r="AB72" i="3" s="1"/>
  <c r="X73" i="3"/>
  <c r="AB73" i="3" s="1"/>
  <c r="X74" i="3"/>
  <c r="AB74" i="3" s="1"/>
  <c r="X75" i="3"/>
  <c r="AB75" i="3" s="1"/>
  <c r="X76" i="3"/>
  <c r="AB76" i="3" s="1"/>
  <c r="X77" i="3"/>
  <c r="AB77" i="3" s="1"/>
  <c r="X78" i="3"/>
  <c r="AB78" i="3" s="1"/>
  <c r="X79" i="3"/>
  <c r="AB79" i="3" s="1"/>
  <c r="X80" i="3"/>
  <c r="AB80" i="3" s="1"/>
  <c r="X81" i="3"/>
  <c r="AB81" i="3" s="1"/>
  <c r="X82" i="3"/>
  <c r="AB82" i="3" s="1"/>
  <c r="X83" i="3"/>
  <c r="AB83" i="3" s="1"/>
  <c r="X84" i="3"/>
  <c r="AB84" i="3" s="1"/>
  <c r="X85" i="3"/>
  <c r="AB85" i="3" s="1"/>
  <c r="X86" i="3"/>
  <c r="AB86" i="3" s="1"/>
  <c r="X87" i="3"/>
  <c r="AB87" i="3" s="1"/>
  <c r="X88" i="3"/>
  <c r="AB88" i="3" s="1"/>
  <c r="X89" i="3"/>
  <c r="AB89" i="3" s="1"/>
  <c r="X90" i="3"/>
  <c r="AB90" i="3" s="1"/>
  <c r="X91" i="3"/>
  <c r="AB91" i="3" s="1"/>
  <c r="X92" i="3"/>
  <c r="AB92" i="3" s="1"/>
  <c r="X93" i="3"/>
  <c r="AB93" i="3" s="1"/>
  <c r="X94" i="3"/>
  <c r="AB94" i="3" s="1"/>
  <c r="X95" i="3"/>
  <c r="AB95" i="3" s="1"/>
  <c r="X96" i="3"/>
  <c r="AB96" i="3" s="1"/>
  <c r="X97" i="3"/>
  <c r="AB97" i="3" s="1"/>
  <c r="X98" i="3"/>
  <c r="AB98" i="3" s="1"/>
  <c r="X99" i="3"/>
  <c r="AB99" i="3" s="1"/>
  <c r="X100" i="3"/>
  <c r="AB100" i="3" s="1"/>
  <c r="X101" i="3"/>
  <c r="AB101" i="3" s="1"/>
  <c r="X102" i="3"/>
  <c r="AB102" i="3" s="1"/>
  <c r="X103" i="3"/>
  <c r="AB103" i="3" s="1"/>
  <c r="X104" i="3"/>
  <c r="AB104" i="3" s="1"/>
  <c r="X105" i="3"/>
  <c r="AB105" i="3" s="1"/>
  <c r="X106" i="3"/>
  <c r="AB106" i="3" s="1"/>
  <c r="X107" i="3"/>
  <c r="AB107" i="3" s="1"/>
  <c r="X108" i="3"/>
  <c r="AB108" i="3" s="1"/>
  <c r="X109" i="3"/>
  <c r="AB109" i="3" s="1"/>
  <c r="X110" i="3"/>
  <c r="AB110" i="3" s="1"/>
  <c r="X111" i="3"/>
  <c r="AB111" i="3" s="1"/>
  <c r="X112" i="3"/>
  <c r="AB112" i="3" s="1"/>
  <c r="X113" i="3"/>
  <c r="AB113" i="3" s="1"/>
  <c r="X114" i="3"/>
  <c r="AB114" i="3" s="1"/>
  <c r="X115" i="3"/>
  <c r="AB115" i="3" s="1"/>
  <c r="X116" i="3"/>
  <c r="AB116" i="3" s="1"/>
  <c r="X117" i="3"/>
  <c r="AB117" i="3" s="1"/>
  <c r="X118" i="3"/>
  <c r="AB118" i="3" s="1"/>
  <c r="X119" i="3"/>
  <c r="AB119" i="3" s="1"/>
  <c r="X120" i="3"/>
  <c r="AB120" i="3" s="1"/>
  <c r="X121" i="3"/>
  <c r="AB121" i="3" s="1"/>
  <c r="X122" i="3"/>
  <c r="AB122" i="3" s="1"/>
  <c r="X123" i="3"/>
  <c r="AB123" i="3" s="1"/>
  <c r="X124" i="3"/>
  <c r="AB124" i="3" s="1"/>
  <c r="X125" i="3"/>
  <c r="AB125" i="3" s="1"/>
  <c r="X126" i="3"/>
  <c r="AB126" i="3" s="1"/>
  <c r="X127" i="3"/>
  <c r="AB127" i="3" s="1"/>
  <c r="X128" i="3"/>
  <c r="AB128" i="3" s="1"/>
  <c r="X129" i="3"/>
  <c r="AB129" i="3" s="1"/>
  <c r="X130" i="3"/>
  <c r="AB130" i="3" s="1"/>
  <c r="X131" i="3"/>
  <c r="AB131" i="3" s="1"/>
  <c r="X132" i="3"/>
  <c r="AB132" i="3" s="1"/>
  <c r="X133" i="3"/>
  <c r="AB133" i="3" s="1"/>
  <c r="X134" i="3"/>
  <c r="AB134" i="3" s="1"/>
  <c r="X135" i="3"/>
  <c r="AB135" i="3" s="1"/>
  <c r="X136" i="3"/>
  <c r="AB136" i="3" s="1"/>
  <c r="X137" i="3"/>
  <c r="AB137" i="3" s="1"/>
  <c r="X138" i="3"/>
  <c r="AB138" i="3" s="1"/>
  <c r="X139" i="3"/>
  <c r="AB139" i="3" s="1"/>
  <c r="X140" i="3"/>
  <c r="AB140" i="3" s="1"/>
  <c r="X141" i="3"/>
  <c r="AB141" i="3" s="1"/>
  <c r="X142" i="3"/>
  <c r="AB142" i="3" s="1"/>
  <c r="X143" i="3"/>
  <c r="AB143" i="3" s="1"/>
  <c r="X144" i="3"/>
  <c r="AB144" i="3" s="1"/>
  <c r="X145" i="3"/>
  <c r="AB145" i="3" s="1"/>
  <c r="X146" i="3"/>
  <c r="AB146" i="3" s="1"/>
  <c r="X147" i="3"/>
  <c r="AB147" i="3" s="1"/>
  <c r="X148" i="3"/>
  <c r="AB148" i="3" s="1"/>
  <c r="X149" i="3"/>
  <c r="AB149" i="3" s="1"/>
  <c r="X150" i="3"/>
  <c r="AB150" i="3" s="1"/>
  <c r="X151" i="3"/>
  <c r="AB151" i="3" s="1"/>
  <c r="X152" i="3"/>
  <c r="AB152" i="3" s="1"/>
  <c r="X153" i="3"/>
  <c r="AB153" i="3" s="1"/>
  <c r="X154" i="3"/>
  <c r="AB154" i="3" s="1"/>
  <c r="X155" i="3"/>
  <c r="AB155" i="3" s="1"/>
  <c r="X156" i="3"/>
  <c r="AB156" i="3" s="1"/>
  <c r="X157" i="3"/>
  <c r="AB157" i="3" s="1"/>
  <c r="X158" i="3"/>
  <c r="AB158" i="3" s="1"/>
  <c r="X159" i="3"/>
  <c r="AB159" i="3" s="1"/>
  <c r="X160" i="3"/>
  <c r="AB160" i="3" s="1"/>
  <c r="X161" i="3"/>
  <c r="AB161" i="3" s="1"/>
  <c r="X162" i="3"/>
  <c r="AB162" i="3" s="1"/>
  <c r="X163" i="3"/>
  <c r="AB163" i="3" s="1"/>
  <c r="X164" i="3"/>
  <c r="AB164" i="3" s="1"/>
  <c r="X165" i="3"/>
  <c r="AB165" i="3" s="1"/>
  <c r="X166" i="3"/>
  <c r="AB166" i="3" s="1"/>
  <c r="X167" i="3"/>
  <c r="AB167" i="3" s="1"/>
  <c r="X168" i="3"/>
  <c r="AB168" i="3" s="1"/>
  <c r="X169" i="3"/>
  <c r="AB169" i="3" s="1"/>
  <c r="X170" i="3"/>
  <c r="AB170" i="3" s="1"/>
  <c r="X171" i="3"/>
  <c r="AB171" i="3" s="1"/>
  <c r="X172" i="3"/>
  <c r="AB172" i="3" s="1"/>
  <c r="X173" i="3"/>
  <c r="AB173" i="3" s="1"/>
  <c r="X174" i="3"/>
  <c r="AB174" i="3" s="1"/>
  <c r="X175" i="3"/>
  <c r="AB175" i="3" s="1"/>
  <c r="X176" i="3"/>
  <c r="AB176" i="3" s="1"/>
  <c r="X177" i="3"/>
  <c r="AB177" i="3" s="1"/>
  <c r="X178" i="3"/>
  <c r="AB178" i="3" s="1"/>
  <c r="X179" i="3"/>
  <c r="AB179" i="3" s="1"/>
  <c r="X180" i="3"/>
  <c r="AB180" i="3" s="1"/>
  <c r="X181" i="3"/>
  <c r="AB181" i="3" s="1"/>
  <c r="X182" i="3"/>
  <c r="AB182" i="3" s="1"/>
  <c r="X183" i="3"/>
  <c r="AB183" i="3" s="1"/>
  <c r="X184" i="3"/>
  <c r="AB184" i="3" s="1"/>
  <c r="X185" i="3"/>
  <c r="AB185" i="3" s="1"/>
  <c r="X186" i="3"/>
  <c r="AB186" i="3" s="1"/>
  <c r="X187" i="3"/>
  <c r="AB187" i="3" s="1"/>
  <c r="X188" i="3"/>
  <c r="AB188" i="3" s="1"/>
  <c r="X189" i="3"/>
  <c r="AB189" i="3" s="1"/>
  <c r="X190" i="3"/>
  <c r="AB190" i="3" s="1"/>
  <c r="X191" i="3"/>
  <c r="AB191" i="3" s="1"/>
  <c r="X192" i="3"/>
  <c r="AB192" i="3" s="1"/>
  <c r="X193" i="3"/>
  <c r="AB193" i="3" s="1"/>
  <c r="X194" i="3"/>
  <c r="AB194" i="3" s="1"/>
  <c r="X195" i="3"/>
  <c r="AB195" i="3" s="1"/>
  <c r="X196" i="3"/>
  <c r="AB196" i="3" s="1"/>
  <c r="X197" i="3"/>
  <c r="AB197" i="3" s="1"/>
  <c r="X198" i="3"/>
  <c r="AB198" i="3" s="1"/>
  <c r="X199" i="3"/>
  <c r="AB199" i="3" s="1"/>
  <c r="X200" i="3"/>
  <c r="AB200" i="3" s="1"/>
  <c r="X201" i="3"/>
  <c r="AB201" i="3" s="1"/>
  <c r="X202" i="3"/>
  <c r="AB202" i="3" s="1"/>
  <c r="X203" i="3"/>
  <c r="AB203" i="3" s="1"/>
  <c r="X204" i="3"/>
  <c r="AB204" i="3" s="1"/>
  <c r="X205" i="3"/>
  <c r="AB205" i="3" s="1"/>
  <c r="X206" i="3"/>
  <c r="AB206" i="3" s="1"/>
  <c r="X207" i="3"/>
  <c r="AB207" i="3" s="1"/>
  <c r="X208" i="3"/>
  <c r="AB208" i="3" s="1"/>
  <c r="X209" i="3"/>
  <c r="AB209" i="3" s="1"/>
  <c r="X210" i="3"/>
  <c r="AB210" i="3" s="1"/>
  <c r="X211" i="3"/>
  <c r="AB211" i="3" s="1"/>
  <c r="X212" i="3"/>
  <c r="AB212" i="3" s="1"/>
  <c r="X213" i="3"/>
  <c r="AB213" i="3" s="1"/>
  <c r="X214" i="3"/>
  <c r="AB214" i="3" s="1"/>
  <c r="X215" i="3"/>
  <c r="AB215" i="3" s="1"/>
  <c r="X216" i="3"/>
  <c r="AB216" i="3" s="1"/>
  <c r="X217" i="3"/>
  <c r="AB217" i="3" s="1"/>
  <c r="X218" i="3"/>
  <c r="AB218" i="3" s="1"/>
  <c r="X219" i="3"/>
  <c r="AB219" i="3" s="1"/>
  <c r="X220" i="3"/>
  <c r="AB220" i="3" s="1"/>
  <c r="X221" i="3"/>
  <c r="AB221" i="3" s="1"/>
  <c r="X222" i="3"/>
  <c r="AB222" i="3" s="1"/>
  <c r="X223" i="3"/>
  <c r="AB223" i="3" s="1"/>
  <c r="X224" i="3"/>
  <c r="AB224" i="3" s="1"/>
  <c r="X225" i="3"/>
  <c r="AB225" i="3" s="1"/>
  <c r="X226" i="3"/>
  <c r="AB226" i="3" s="1"/>
  <c r="X227" i="3"/>
  <c r="AB227" i="3" s="1"/>
  <c r="X228" i="3"/>
  <c r="AB228" i="3" s="1"/>
  <c r="X229" i="3"/>
  <c r="AB229" i="3" s="1"/>
  <c r="X230" i="3"/>
  <c r="AB230" i="3" s="1"/>
  <c r="X231" i="3"/>
  <c r="AB231" i="3" s="1"/>
  <c r="X232" i="3"/>
  <c r="AB232" i="3" s="1"/>
  <c r="X233" i="3"/>
  <c r="AB233" i="3" s="1"/>
  <c r="X234" i="3"/>
  <c r="AB234" i="3" s="1"/>
  <c r="X235" i="3"/>
  <c r="AB235" i="3" s="1"/>
  <c r="X236" i="3"/>
  <c r="AB236" i="3" s="1"/>
  <c r="X237" i="3"/>
  <c r="AB237" i="3" s="1"/>
  <c r="X238" i="3"/>
  <c r="AB238" i="3" s="1"/>
  <c r="X239" i="3"/>
  <c r="AB239" i="3" s="1"/>
  <c r="X240" i="3"/>
  <c r="AB240" i="3" s="1"/>
  <c r="X241" i="3"/>
  <c r="AB241" i="3" s="1"/>
  <c r="X242" i="3"/>
  <c r="AB242" i="3" s="1"/>
  <c r="X243" i="3"/>
  <c r="AB243" i="3" s="1"/>
  <c r="X244" i="3"/>
  <c r="AB244" i="3" s="1"/>
  <c r="X245" i="3"/>
  <c r="AB245" i="3" s="1"/>
  <c r="X246" i="3"/>
  <c r="AB246" i="3" s="1"/>
  <c r="X247" i="3"/>
  <c r="AB247" i="3" s="1"/>
  <c r="X248" i="3"/>
  <c r="AB248" i="3" s="1"/>
  <c r="X249" i="3"/>
  <c r="AB249" i="3" s="1"/>
  <c r="X250" i="3"/>
  <c r="AB250" i="3" s="1"/>
  <c r="X251" i="3"/>
  <c r="AB251" i="3" s="1"/>
  <c r="X252" i="3"/>
  <c r="AB252" i="3" s="1"/>
  <c r="X253" i="3"/>
  <c r="AB253" i="3" s="1"/>
  <c r="X254" i="3"/>
  <c r="AB254" i="3" s="1"/>
  <c r="X255" i="3"/>
  <c r="AB255" i="3" s="1"/>
  <c r="X256" i="3"/>
  <c r="AB256" i="3" s="1"/>
  <c r="X257" i="3"/>
  <c r="AB257" i="3" s="1"/>
  <c r="X258" i="3"/>
  <c r="AB258" i="3" s="1"/>
  <c r="X259" i="3"/>
  <c r="AB259" i="3" s="1"/>
  <c r="X260" i="3"/>
  <c r="AB260" i="3" s="1"/>
  <c r="X261" i="3"/>
  <c r="AB261" i="3" s="1"/>
  <c r="X262" i="3"/>
  <c r="AB262" i="3" s="1"/>
  <c r="X263" i="3"/>
  <c r="AB263" i="3" s="1"/>
  <c r="X264" i="3"/>
  <c r="AB264" i="3" s="1"/>
  <c r="X265" i="3"/>
  <c r="AB265" i="3" s="1"/>
  <c r="X266" i="3"/>
  <c r="AB266" i="3" s="1"/>
  <c r="X267" i="3"/>
  <c r="AB267" i="3" s="1"/>
  <c r="X268" i="3"/>
  <c r="AB268" i="3" s="1"/>
  <c r="X269" i="3"/>
  <c r="AB269" i="3" s="1"/>
  <c r="X270" i="3"/>
  <c r="AB270" i="3" s="1"/>
  <c r="X271" i="3"/>
  <c r="AB271" i="3" s="1"/>
  <c r="X272" i="3"/>
  <c r="AB272" i="3" s="1"/>
  <c r="X273" i="3"/>
  <c r="AB273" i="3" s="1"/>
  <c r="X274" i="3"/>
  <c r="AB274" i="3" s="1"/>
  <c r="X275" i="3"/>
  <c r="AB275" i="3" s="1"/>
  <c r="X276" i="3"/>
  <c r="AB276" i="3" s="1"/>
  <c r="X277" i="3"/>
  <c r="AB277" i="3" s="1"/>
  <c r="X278" i="3"/>
  <c r="AB278" i="3" s="1"/>
  <c r="X279" i="3"/>
  <c r="AB279" i="3" s="1"/>
  <c r="X280" i="3"/>
  <c r="AB280" i="3" s="1"/>
  <c r="X281" i="3"/>
  <c r="AB281" i="3" s="1"/>
  <c r="X282" i="3"/>
  <c r="AB282" i="3" s="1"/>
  <c r="X283" i="3"/>
  <c r="AB283" i="3" s="1"/>
  <c r="X284" i="3"/>
  <c r="AB284" i="3" s="1"/>
  <c r="X285" i="3"/>
  <c r="AB285" i="3" s="1"/>
  <c r="X286" i="3"/>
  <c r="AB286" i="3" s="1"/>
  <c r="X287" i="3"/>
  <c r="AB287" i="3" s="1"/>
  <c r="X288" i="3"/>
  <c r="AB288" i="3" s="1"/>
  <c r="X289" i="3"/>
  <c r="AB289" i="3" s="1"/>
  <c r="X290" i="3"/>
  <c r="AB290" i="3" s="1"/>
  <c r="X291" i="3"/>
  <c r="AB291" i="3" s="1"/>
  <c r="X292" i="3"/>
  <c r="AB292" i="3" s="1"/>
  <c r="X293" i="3"/>
  <c r="AB293" i="3" s="1"/>
  <c r="X294" i="3"/>
  <c r="AB294" i="3" s="1"/>
  <c r="X295" i="3"/>
  <c r="AB295" i="3" s="1"/>
  <c r="X296" i="3"/>
  <c r="AB296" i="3" s="1"/>
  <c r="X297" i="3"/>
  <c r="AB297" i="3" s="1"/>
  <c r="X298" i="3"/>
  <c r="AB298" i="3" s="1"/>
  <c r="X299" i="3"/>
  <c r="AB299" i="3" s="1"/>
  <c r="X300" i="3"/>
  <c r="AB300" i="3" s="1"/>
  <c r="X301" i="3"/>
  <c r="AB301" i="3" s="1"/>
  <c r="X302" i="3"/>
  <c r="AB302" i="3" s="1"/>
  <c r="X303" i="3"/>
  <c r="AB303" i="3" s="1"/>
  <c r="X304" i="3"/>
  <c r="AB304" i="3" s="1"/>
  <c r="X305" i="3"/>
  <c r="AB305" i="3" s="1"/>
  <c r="X306" i="3"/>
  <c r="AB306" i="3" s="1"/>
  <c r="X307" i="3"/>
  <c r="AB307" i="3" s="1"/>
  <c r="X308" i="3"/>
  <c r="AB308" i="3" s="1"/>
  <c r="X309" i="3"/>
  <c r="AB309" i="3" s="1"/>
  <c r="X310" i="3"/>
  <c r="AB310" i="3" s="1"/>
  <c r="X311" i="3"/>
  <c r="AB311" i="3" s="1"/>
  <c r="X312" i="3"/>
  <c r="AB312" i="3" s="1"/>
  <c r="X313" i="3"/>
  <c r="AB313" i="3" s="1"/>
  <c r="X314" i="3"/>
  <c r="AB314" i="3" s="1"/>
  <c r="X315" i="3"/>
  <c r="AB315" i="3" s="1"/>
  <c r="X316" i="3"/>
  <c r="AB316" i="3" s="1"/>
  <c r="X317" i="3"/>
  <c r="AB317" i="3" s="1"/>
  <c r="X318" i="3"/>
  <c r="AB318" i="3" s="1"/>
  <c r="X319" i="3"/>
  <c r="AB319" i="3" s="1"/>
  <c r="X320" i="3"/>
  <c r="AB320" i="3" s="1"/>
  <c r="X321" i="3"/>
  <c r="AB321" i="3" s="1"/>
  <c r="X322" i="3"/>
  <c r="AB322" i="3" s="1"/>
  <c r="X323" i="3"/>
  <c r="AB323" i="3" s="1"/>
  <c r="X324" i="3"/>
  <c r="AB324" i="3" s="1"/>
  <c r="X325" i="3"/>
  <c r="AB325" i="3" s="1"/>
  <c r="X326" i="3"/>
  <c r="AB326" i="3" s="1"/>
  <c r="X327" i="3"/>
  <c r="AB327" i="3" s="1"/>
  <c r="X328" i="3"/>
  <c r="AB328" i="3" s="1"/>
  <c r="X329" i="3"/>
  <c r="AB329" i="3" s="1"/>
  <c r="X330" i="3"/>
  <c r="AB330" i="3" s="1"/>
  <c r="X331" i="3"/>
  <c r="AB331" i="3" s="1"/>
  <c r="X332" i="3"/>
  <c r="AB332" i="3" s="1"/>
  <c r="X333" i="3"/>
  <c r="AB333" i="3" s="1"/>
  <c r="X334" i="3"/>
  <c r="AB334" i="3" s="1"/>
  <c r="X335" i="3"/>
  <c r="AB335" i="3" s="1"/>
  <c r="X336" i="3"/>
  <c r="AB336" i="3" s="1"/>
  <c r="X337" i="3"/>
  <c r="AB337" i="3" s="1"/>
  <c r="X338" i="3"/>
  <c r="AB338" i="3" s="1"/>
  <c r="X339" i="3"/>
  <c r="AB339" i="3" s="1"/>
  <c r="X340" i="3"/>
  <c r="AB340" i="3" s="1"/>
  <c r="X341" i="3"/>
  <c r="AB341" i="3" s="1"/>
  <c r="X342" i="3"/>
  <c r="AB342" i="3" s="1"/>
  <c r="X343" i="3"/>
  <c r="AB343" i="3" s="1"/>
  <c r="X344" i="3"/>
  <c r="AB344" i="3" s="1"/>
  <c r="X345" i="3"/>
  <c r="AB345" i="3" s="1"/>
  <c r="X346" i="3"/>
  <c r="AB346" i="3" s="1"/>
  <c r="X347" i="3"/>
  <c r="AB347" i="3" s="1"/>
  <c r="X348" i="3"/>
  <c r="AB348" i="3" s="1"/>
  <c r="X349" i="3"/>
  <c r="AB349" i="3" s="1"/>
  <c r="X350" i="3"/>
  <c r="AB350" i="3" s="1"/>
  <c r="X351" i="3"/>
  <c r="AB351" i="3" s="1"/>
  <c r="X352" i="3"/>
  <c r="AB352" i="3" s="1"/>
  <c r="X353" i="3"/>
  <c r="AB353" i="3" s="1"/>
  <c r="X354" i="3"/>
  <c r="AB354" i="3" s="1"/>
  <c r="X355" i="3"/>
  <c r="AB355" i="3" s="1"/>
  <c r="X356" i="3"/>
  <c r="AB356" i="3" s="1"/>
  <c r="X357" i="3"/>
  <c r="AB357" i="3" s="1"/>
  <c r="X358" i="3"/>
  <c r="AB358" i="3" s="1"/>
  <c r="X359" i="3"/>
  <c r="AB359" i="3" s="1"/>
  <c r="X360" i="3"/>
  <c r="AB360" i="3" s="1"/>
  <c r="X361" i="3"/>
  <c r="AB361" i="3" s="1"/>
  <c r="X362" i="3"/>
  <c r="AB362" i="3" s="1"/>
  <c r="X363" i="3"/>
  <c r="AB363" i="3" s="1"/>
  <c r="X364" i="3"/>
  <c r="AB364" i="3" s="1"/>
  <c r="X365" i="3"/>
  <c r="AB365" i="3" s="1"/>
  <c r="X366" i="3"/>
  <c r="AB366" i="3" s="1"/>
  <c r="X367" i="3"/>
  <c r="AB367" i="3" s="1"/>
  <c r="X368" i="3"/>
  <c r="AB368" i="3" s="1"/>
  <c r="X369" i="3"/>
  <c r="AB369" i="3" s="1"/>
  <c r="X370" i="3"/>
  <c r="AB370" i="3" s="1"/>
  <c r="X371" i="3"/>
  <c r="AB371" i="3" s="1"/>
  <c r="X372" i="3"/>
  <c r="AB372" i="3" s="1"/>
  <c r="X373" i="3"/>
  <c r="AB373" i="3" s="1"/>
  <c r="X374" i="3"/>
  <c r="AB374" i="3" s="1"/>
  <c r="X375" i="3"/>
  <c r="AB375" i="3" s="1"/>
  <c r="X376" i="3"/>
  <c r="AB376" i="3" s="1"/>
  <c r="X377" i="3"/>
  <c r="AB377" i="3" s="1"/>
  <c r="X378" i="3"/>
  <c r="AB378" i="3" s="1"/>
  <c r="X379" i="3"/>
  <c r="AB379" i="3" s="1"/>
  <c r="X380" i="3"/>
  <c r="AB380" i="3" s="1"/>
  <c r="X381" i="3"/>
  <c r="AB381" i="3" s="1"/>
  <c r="X382" i="3"/>
  <c r="AB382" i="3" s="1"/>
  <c r="X383" i="3"/>
  <c r="AB383" i="3" s="1"/>
  <c r="X384" i="3"/>
  <c r="AB384" i="3" s="1"/>
  <c r="X385" i="3"/>
  <c r="AB385" i="3" s="1"/>
  <c r="X386" i="3"/>
  <c r="AB386" i="3" s="1"/>
  <c r="X387" i="3"/>
  <c r="AB387" i="3" s="1"/>
  <c r="X388" i="3"/>
  <c r="AB388" i="3" s="1"/>
  <c r="X389" i="3"/>
  <c r="AB389" i="3" s="1"/>
  <c r="X390" i="3"/>
  <c r="AB390" i="3" s="1"/>
  <c r="X391" i="3"/>
  <c r="AB391" i="3" s="1"/>
  <c r="X392" i="3"/>
  <c r="AB392" i="3" s="1"/>
  <c r="X393" i="3"/>
  <c r="AB393" i="3" s="1"/>
  <c r="X394" i="3"/>
  <c r="AB394" i="3" s="1"/>
  <c r="X395" i="3"/>
  <c r="AB395" i="3" s="1"/>
  <c r="X396" i="3"/>
  <c r="AB396" i="3" s="1"/>
  <c r="X397" i="3"/>
  <c r="AB397" i="3" s="1"/>
  <c r="X398" i="3"/>
  <c r="AB398" i="3" s="1"/>
  <c r="X399" i="3"/>
  <c r="AB399" i="3" s="1"/>
  <c r="X400" i="3"/>
  <c r="AB400" i="3" s="1"/>
  <c r="X401" i="3"/>
  <c r="AB401" i="3" s="1"/>
  <c r="X402" i="3"/>
  <c r="AB402" i="3" s="1"/>
  <c r="X403" i="3"/>
  <c r="AB403" i="3" s="1"/>
  <c r="X404" i="3"/>
  <c r="AB404" i="3" s="1"/>
  <c r="X405" i="3"/>
  <c r="AB405" i="3" s="1"/>
  <c r="X406" i="3"/>
  <c r="AB406" i="3" s="1"/>
  <c r="X407" i="3"/>
  <c r="AB407" i="3" s="1"/>
  <c r="X408" i="3"/>
  <c r="AB408" i="3" s="1"/>
  <c r="X409" i="3"/>
  <c r="AB409" i="3" s="1"/>
  <c r="X410" i="3"/>
  <c r="AB410" i="3" s="1"/>
  <c r="X411" i="3"/>
  <c r="AB411" i="3" s="1"/>
  <c r="X412" i="3"/>
  <c r="AB412" i="3" s="1"/>
  <c r="X413" i="3"/>
  <c r="AB413" i="3" s="1"/>
  <c r="X414" i="3"/>
  <c r="AB414" i="3" s="1"/>
  <c r="X415" i="3"/>
  <c r="AB415" i="3" s="1"/>
  <c r="X416" i="3"/>
  <c r="AB416" i="3" s="1"/>
  <c r="X417" i="3"/>
  <c r="AB417" i="3" s="1"/>
  <c r="X418" i="3"/>
  <c r="AB418" i="3" s="1"/>
  <c r="X419" i="3"/>
  <c r="AB419" i="3" s="1"/>
  <c r="X420" i="3"/>
  <c r="AB420" i="3" s="1"/>
  <c r="X421" i="3"/>
  <c r="AB421" i="3" s="1"/>
  <c r="X422" i="3"/>
  <c r="AB422" i="3" s="1"/>
  <c r="X423" i="3"/>
  <c r="AB423" i="3" s="1"/>
  <c r="X424" i="3"/>
  <c r="AB424" i="3" s="1"/>
  <c r="X425" i="3"/>
  <c r="AB425" i="3" s="1"/>
  <c r="X426" i="3"/>
  <c r="AB426" i="3" s="1"/>
  <c r="X427" i="3"/>
  <c r="AB427" i="3" s="1"/>
  <c r="X428" i="3"/>
  <c r="AB428" i="3" s="1"/>
  <c r="X429" i="3"/>
  <c r="AB429" i="3" s="1"/>
  <c r="X430" i="3"/>
  <c r="AB430" i="3" s="1"/>
  <c r="X431" i="3"/>
  <c r="AB431" i="3" s="1"/>
  <c r="X432" i="3"/>
  <c r="AB432" i="3" s="1"/>
  <c r="X433" i="3"/>
  <c r="AB433" i="3" s="1"/>
  <c r="X434" i="3"/>
  <c r="AB434" i="3" s="1"/>
  <c r="X435" i="3"/>
  <c r="AB435" i="3" s="1"/>
  <c r="X436" i="3"/>
  <c r="AB436" i="3" s="1"/>
  <c r="X437" i="3"/>
  <c r="AB437" i="3" s="1"/>
  <c r="X438" i="3"/>
  <c r="AB438" i="3" s="1"/>
  <c r="X439" i="3"/>
  <c r="AB439" i="3" s="1"/>
  <c r="X440" i="3"/>
  <c r="AB440" i="3" s="1"/>
  <c r="X441" i="3"/>
  <c r="AB441" i="3" s="1"/>
  <c r="X442" i="3"/>
  <c r="AB442" i="3" s="1"/>
  <c r="X443" i="3"/>
  <c r="AB443" i="3" s="1"/>
  <c r="X444" i="3"/>
  <c r="AB444" i="3" s="1"/>
  <c r="X445" i="3"/>
  <c r="AB445" i="3" s="1"/>
  <c r="X446" i="3"/>
  <c r="AB446" i="3" s="1"/>
  <c r="X447" i="3"/>
  <c r="AB447" i="3" s="1"/>
  <c r="X448" i="3"/>
  <c r="AB448" i="3" s="1"/>
  <c r="X449" i="3"/>
  <c r="AB449" i="3" s="1"/>
  <c r="X450" i="3"/>
  <c r="AB450" i="3" s="1"/>
  <c r="X451" i="3"/>
  <c r="AB451" i="3" s="1"/>
  <c r="X452" i="3"/>
  <c r="AB452" i="3" s="1"/>
  <c r="X453" i="3"/>
  <c r="AB453" i="3" s="1"/>
  <c r="X454" i="3"/>
  <c r="AB454" i="3" s="1"/>
  <c r="X455" i="3"/>
  <c r="AB455" i="3" s="1"/>
  <c r="X456" i="3"/>
  <c r="AB456" i="3" s="1"/>
  <c r="X457" i="3"/>
  <c r="AB457" i="3" s="1"/>
  <c r="X458" i="3"/>
  <c r="AB458" i="3" s="1"/>
  <c r="X459" i="3"/>
  <c r="AB459" i="3" s="1"/>
  <c r="X460" i="3"/>
  <c r="AB460" i="3" s="1"/>
  <c r="X461" i="3"/>
  <c r="AB461" i="3" s="1"/>
  <c r="X462" i="3"/>
  <c r="AB462" i="3" s="1"/>
  <c r="X463" i="3"/>
  <c r="AB463" i="3" s="1"/>
  <c r="X464" i="3"/>
  <c r="AB464" i="3" s="1"/>
  <c r="X465" i="3"/>
  <c r="AB465" i="3" s="1"/>
  <c r="X466" i="3"/>
  <c r="AB466" i="3" s="1"/>
  <c r="X467" i="3"/>
  <c r="AB467" i="3" s="1"/>
  <c r="X468" i="3"/>
  <c r="AB468" i="3" s="1"/>
  <c r="X469" i="3"/>
  <c r="AB469" i="3" s="1"/>
  <c r="X470" i="3"/>
  <c r="AB470" i="3" s="1"/>
  <c r="X471" i="3"/>
  <c r="AB471" i="3" s="1"/>
  <c r="X472" i="3"/>
  <c r="AB472" i="3" s="1"/>
  <c r="X473" i="3"/>
  <c r="AB473" i="3" s="1"/>
  <c r="X474" i="3"/>
  <c r="AB474" i="3" s="1"/>
  <c r="X475" i="3"/>
  <c r="AB475" i="3" s="1"/>
  <c r="X476" i="3"/>
  <c r="AB476" i="3" s="1"/>
  <c r="X477" i="3"/>
  <c r="AB477" i="3" s="1"/>
  <c r="X478" i="3"/>
  <c r="AB478" i="3" s="1"/>
  <c r="X479" i="3"/>
  <c r="AB479" i="3" s="1"/>
  <c r="X480" i="3"/>
  <c r="AB480" i="3" s="1"/>
  <c r="X481" i="3"/>
  <c r="AB481" i="3" s="1"/>
  <c r="X482" i="3"/>
  <c r="AB482" i="3" s="1"/>
  <c r="X483" i="3"/>
  <c r="AB483" i="3" s="1"/>
  <c r="X484" i="3"/>
  <c r="AB484" i="3" s="1"/>
  <c r="X485" i="3"/>
  <c r="AB485" i="3" s="1"/>
  <c r="X486" i="3"/>
  <c r="AB486" i="3" s="1"/>
  <c r="X487" i="3"/>
  <c r="AB487" i="3" s="1"/>
  <c r="X488" i="3"/>
  <c r="AB488" i="3" s="1"/>
  <c r="X489" i="3"/>
  <c r="AB489" i="3" s="1"/>
  <c r="X490" i="3"/>
  <c r="AB490" i="3" s="1"/>
  <c r="X491" i="3"/>
  <c r="AB491" i="3" s="1"/>
  <c r="X492" i="3"/>
  <c r="AB492" i="3" s="1"/>
  <c r="X493" i="3"/>
  <c r="AB493" i="3" s="1"/>
  <c r="X494" i="3"/>
  <c r="AB494" i="3" s="1"/>
  <c r="X495" i="3"/>
  <c r="AB495" i="3" s="1"/>
  <c r="X496" i="3"/>
  <c r="AB496" i="3" s="1"/>
  <c r="X497" i="3"/>
  <c r="AB497" i="3" s="1"/>
  <c r="X498" i="3"/>
  <c r="AB498" i="3" s="1"/>
  <c r="X499" i="3"/>
  <c r="AB499" i="3" s="1"/>
  <c r="X500" i="3"/>
  <c r="AB500" i="3" s="1"/>
  <c r="X501" i="3"/>
  <c r="AB501" i="3" s="1"/>
  <c r="X502" i="3"/>
  <c r="AB502" i="3" s="1"/>
  <c r="X503" i="3"/>
  <c r="AB503" i="3" s="1"/>
  <c r="X504" i="3"/>
  <c r="AB504" i="3" s="1"/>
  <c r="X505" i="3"/>
  <c r="AB505" i="3" s="1"/>
  <c r="X506" i="3"/>
  <c r="AB506" i="3" s="1"/>
  <c r="X507" i="3"/>
  <c r="AB507" i="3" s="1"/>
  <c r="X508" i="3"/>
  <c r="AB508" i="3" s="1"/>
  <c r="X509" i="3"/>
  <c r="AB509" i="3" s="1"/>
  <c r="X510" i="3"/>
  <c r="AB510" i="3" s="1"/>
  <c r="X511" i="3"/>
  <c r="AB511" i="3" s="1"/>
  <c r="X512" i="3"/>
  <c r="AB512" i="3" s="1"/>
  <c r="X513" i="3"/>
  <c r="AB513" i="3" s="1"/>
  <c r="X514" i="3"/>
  <c r="AB514" i="3" s="1"/>
  <c r="X515" i="3"/>
  <c r="AB515" i="3" s="1"/>
  <c r="X516" i="3"/>
  <c r="AB516" i="3" s="1"/>
  <c r="X517" i="3"/>
  <c r="AB517" i="3" s="1"/>
  <c r="X518" i="3"/>
  <c r="AB518" i="3" s="1"/>
  <c r="X519" i="3"/>
  <c r="AB519" i="3" s="1"/>
  <c r="X520" i="3"/>
  <c r="AB520" i="3" s="1"/>
  <c r="X521" i="3"/>
  <c r="AB521" i="3" s="1"/>
  <c r="X522" i="3"/>
  <c r="AB522" i="3" s="1"/>
  <c r="X523" i="3"/>
  <c r="AB523" i="3" s="1"/>
  <c r="X524" i="3"/>
  <c r="AB524" i="3" s="1"/>
  <c r="X525" i="3"/>
  <c r="AB525" i="3" s="1"/>
  <c r="X526" i="3"/>
  <c r="AB526" i="3" s="1"/>
  <c r="X527" i="3"/>
  <c r="AB527" i="3" s="1"/>
  <c r="X528" i="3"/>
  <c r="AB528" i="3" s="1"/>
  <c r="X529" i="3"/>
  <c r="AB529" i="3" s="1"/>
  <c r="X530" i="3"/>
  <c r="AB530" i="3" s="1"/>
  <c r="X531" i="3"/>
  <c r="AB531" i="3" s="1"/>
  <c r="X532" i="3"/>
  <c r="AB532" i="3" s="1"/>
  <c r="X533" i="3"/>
  <c r="AB533" i="3" s="1"/>
  <c r="X534" i="3"/>
  <c r="AB534" i="3" s="1"/>
  <c r="X535" i="3"/>
  <c r="AB535" i="3" s="1"/>
  <c r="X536" i="3"/>
  <c r="AB536" i="3" s="1"/>
  <c r="X537" i="3"/>
  <c r="AB537" i="3" s="1"/>
  <c r="X538" i="3"/>
  <c r="AB538" i="3" s="1"/>
  <c r="X539" i="3"/>
  <c r="AB539" i="3" s="1"/>
  <c r="X540" i="3"/>
  <c r="AB540" i="3" s="1"/>
  <c r="X541" i="3"/>
  <c r="AB541" i="3" s="1"/>
  <c r="X542" i="3"/>
  <c r="AB542" i="3" s="1"/>
  <c r="X543" i="3"/>
  <c r="AB543" i="3" s="1"/>
  <c r="X544" i="3"/>
  <c r="AB544" i="3" s="1"/>
  <c r="X545" i="3"/>
  <c r="AB545" i="3" s="1"/>
  <c r="X546" i="3"/>
  <c r="AB546" i="3" s="1"/>
  <c r="X547" i="3"/>
  <c r="AB547" i="3" s="1"/>
  <c r="X548" i="3"/>
  <c r="AB548" i="3" s="1"/>
  <c r="X549" i="3"/>
  <c r="AB549" i="3" s="1"/>
  <c r="X550" i="3"/>
  <c r="AB550" i="3" s="1"/>
  <c r="X551" i="3"/>
  <c r="AB551" i="3" s="1"/>
  <c r="X552" i="3"/>
  <c r="AB552" i="3" s="1"/>
  <c r="X553" i="3"/>
  <c r="AB553" i="3" s="1"/>
  <c r="X554" i="3"/>
  <c r="AB554" i="3" s="1"/>
  <c r="X555" i="3"/>
  <c r="AB555" i="3" s="1"/>
  <c r="X556" i="3"/>
  <c r="AB556" i="3" s="1"/>
  <c r="X557" i="3"/>
  <c r="AB557" i="3" s="1"/>
  <c r="X558" i="3"/>
  <c r="AB558" i="3" s="1"/>
  <c r="X559" i="3"/>
  <c r="AB559" i="3" s="1"/>
  <c r="X560" i="3"/>
  <c r="AB560" i="3" s="1"/>
  <c r="X561" i="3"/>
  <c r="AB561" i="3" s="1"/>
  <c r="X562" i="3"/>
  <c r="AB562" i="3" s="1"/>
  <c r="X563" i="3"/>
  <c r="AB563" i="3" s="1"/>
  <c r="X564" i="3"/>
  <c r="AB564" i="3" s="1"/>
  <c r="X565" i="3"/>
  <c r="AB565" i="3" s="1"/>
  <c r="X566" i="3"/>
  <c r="AB566" i="3" s="1"/>
  <c r="X567" i="3"/>
  <c r="AB567" i="3" s="1"/>
  <c r="X568" i="3"/>
  <c r="AB568" i="3" s="1"/>
  <c r="X569" i="3"/>
  <c r="AB569" i="3" s="1"/>
  <c r="X570" i="3"/>
  <c r="AB570" i="3" s="1"/>
  <c r="X571" i="3"/>
  <c r="AB571" i="3" s="1"/>
  <c r="X572" i="3"/>
  <c r="AB572" i="3" s="1"/>
  <c r="X573" i="3"/>
  <c r="AB573" i="3" s="1"/>
  <c r="X574" i="3"/>
  <c r="AB574" i="3" s="1"/>
  <c r="X575" i="3"/>
  <c r="AB575" i="3" s="1"/>
  <c r="X576" i="3"/>
  <c r="AB576" i="3" s="1"/>
  <c r="X577" i="3"/>
  <c r="AB577" i="3" s="1"/>
  <c r="X578" i="3"/>
  <c r="AB578" i="3" s="1"/>
  <c r="X579" i="3"/>
  <c r="AB579" i="3" s="1"/>
  <c r="X580" i="3"/>
  <c r="AB580" i="3" s="1"/>
  <c r="X581" i="3"/>
  <c r="AB581" i="3" s="1"/>
  <c r="X582" i="3"/>
  <c r="AB582" i="3" s="1"/>
  <c r="X583" i="3"/>
  <c r="AB583" i="3" s="1"/>
  <c r="X584" i="3"/>
  <c r="AB584" i="3" s="1"/>
  <c r="X585" i="3"/>
  <c r="AB585" i="3" s="1"/>
  <c r="X586" i="3"/>
  <c r="AB586" i="3" s="1"/>
  <c r="X587" i="3"/>
  <c r="AB587" i="3" s="1"/>
  <c r="X588" i="3"/>
  <c r="AB588" i="3" s="1"/>
  <c r="X589" i="3"/>
  <c r="AB589" i="3" s="1"/>
  <c r="X590" i="3"/>
  <c r="AB590" i="3" s="1"/>
  <c r="X591" i="3"/>
  <c r="AB591" i="3" s="1"/>
  <c r="X592" i="3"/>
  <c r="AB592" i="3" s="1"/>
  <c r="X593" i="3"/>
  <c r="AB593" i="3" s="1"/>
  <c r="X594" i="3"/>
  <c r="AB594" i="3" s="1"/>
  <c r="X595" i="3"/>
  <c r="AB595" i="3" s="1"/>
  <c r="X596" i="3"/>
  <c r="AB596" i="3" s="1"/>
  <c r="X597" i="3"/>
  <c r="AB597" i="3" s="1"/>
  <c r="X598" i="3"/>
  <c r="AB598" i="3" s="1"/>
  <c r="X599" i="3"/>
  <c r="AB599" i="3" s="1"/>
  <c r="X600" i="3"/>
  <c r="AB600" i="3" s="1"/>
  <c r="X601" i="3"/>
  <c r="AB601" i="3" s="1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A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Z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Z504" i="3"/>
  <c r="Z505" i="3"/>
  <c r="Z506" i="3"/>
  <c r="Z507" i="3"/>
  <c r="Z508" i="3"/>
  <c r="Z509" i="3"/>
  <c r="Z510" i="3"/>
  <c r="Z511" i="3"/>
  <c r="Z512" i="3"/>
  <c r="Z513" i="3"/>
  <c r="Z514" i="3"/>
  <c r="Z515" i="3"/>
  <c r="Z516" i="3"/>
  <c r="Z517" i="3"/>
  <c r="Z518" i="3"/>
  <c r="Z519" i="3"/>
  <c r="Z520" i="3"/>
  <c r="Z521" i="3"/>
  <c r="Z522" i="3"/>
  <c r="Z523" i="3"/>
  <c r="Z524" i="3"/>
  <c r="Z525" i="3"/>
  <c r="Z526" i="3"/>
  <c r="Z527" i="3"/>
  <c r="Z528" i="3"/>
  <c r="Z529" i="3"/>
  <c r="Z53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59" i="3"/>
  <c r="Z560" i="3"/>
  <c r="Z561" i="3"/>
  <c r="Z562" i="3"/>
  <c r="Z563" i="3"/>
  <c r="Z564" i="3"/>
  <c r="Z565" i="3"/>
  <c r="Z566" i="3"/>
  <c r="Z567" i="3"/>
  <c r="Z568" i="3"/>
  <c r="Z569" i="3"/>
  <c r="Z570" i="3"/>
  <c r="Z571" i="3"/>
  <c r="Z572" i="3"/>
  <c r="Z573" i="3"/>
  <c r="Z574" i="3"/>
  <c r="Z575" i="3"/>
  <c r="Z576" i="3"/>
  <c r="Z577" i="3"/>
  <c r="Z578" i="3"/>
  <c r="Z579" i="3"/>
  <c r="Z580" i="3"/>
  <c r="Z581" i="3"/>
  <c r="Z582" i="3"/>
  <c r="Z583" i="3"/>
  <c r="Z584" i="3"/>
  <c r="Z585" i="3"/>
  <c r="Z586" i="3"/>
  <c r="Z587" i="3"/>
  <c r="Z588" i="3"/>
  <c r="Z589" i="3"/>
  <c r="Z590" i="3"/>
  <c r="Z591" i="3"/>
  <c r="Z592" i="3"/>
  <c r="Z593" i="3"/>
  <c r="Z594" i="3"/>
  <c r="Z595" i="3"/>
  <c r="Z596" i="3"/>
  <c r="Z597" i="3"/>
  <c r="Z598" i="3"/>
  <c r="Z599" i="3"/>
  <c r="Z600" i="3"/>
  <c r="Z601" i="3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E2" i="4" l="1"/>
  <c r="E3" i="4"/>
  <c r="H3" i="4" s="1"/>
  <c r="E4" i="4"/>
  <c r="H4" i="4" s="1"/>
  <c r="E5" i="4"/>
  <c r="E6" i="4"/>
  <c r="G2" i="4"/>
  <c r="E7" i="4"/>
  <c r="H7" i="4" s="1"/>
  <c r="E8" i="4"/>
  <c r="H8" i="4" s="1"/>
  <c r="E9" i="4"/>
  <c r="H9" i="4" s="1"/>
  <c r="G3" i="4"/>
  <c r="G4" i="4"/>
  <c r="G5" i="4"/>
  <c r="H5" i="4"/>
  <c r="G6" i="4"/>
  <c r="H6" i="4"/>
  <c r="G7" i="4"/>
  <c r="G8" i="4"/>
  <c r="G9" i="4"/>
  <c r="H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<sst xmlns="http://schemas.openxmlformats.org/spreadsheetml/2006/main" count="18093" uniqueCount="3350">
  <si>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</si>
  <si>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</si>
  <si>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</si>
  <si>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</si>
  <si>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</si>
  <si>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</si>
  <si>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</si>
  <si>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</si>
  <si>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</si>
  <si>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</si>
  <si>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</si>
  <si>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</si>
  <si>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</si>
  <si>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</si>
  <si>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</si>
  <si>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</si>
  <si>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</si>
  <si>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</si>
  <si>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</si>
  <si>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</si>
  <si>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</si>
  <si>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CA-2022-10518</t>
  </si>
  <si>
    <t>First Class</t>
  </si>
  <si>
    <t>CG-2377</t>
  </si>
  <si>
    <t>Customer 75</t>
  </si>
  <si>
    <t>Consumer</t>
  </si>
  <si>
    <t>United States</t>
  </si>
  <si>
    <t>Jacksonville</t>
  </si>
  <si>
    <t>South</t>
  </si>
  <si>
    <t>PROD-893</t>
  </si>
  <si>
    <t>Furniture</t>
  </si>
  <si>
    <t>Chairs</t>
  </si>
  <si>
    <t>Chairs Product 2</t>
  </si>
  <si>
    <t>$149.91</t>
  </si>
  <si>
    <t>$15.30</t>
  </si>
  <si>
    <t>CA-2022-10349</t>
  </si>
  <si>
    <t>Standard Class</t>
  </si>
  <si>
    <t>CG-3064</t>
  </si>
  <si>
    <t>Customer 71</t>
  </si>
  <si>
    <t>Corporate</t>
  </si>
  <si>
    <t>Minneapolis</t>
  </si>
  <si>
    <t>Central</t>
  </si>
  <si>
    <t>PROD-908</t>
  </si>
  <si>
    <t>Office Supplies</t>
  </si>
  <si>
    <t>Labels</t>
  </si>
  <si>
    <t>Labels Product 19</t>
  </si>
  <si>
    <t>$47.80</t>
  </si>
  <si>
    <t>$3.80</t>
  </si>
  <si>
    <t>CA-2022-10148</t>
  </si>
  <si>
    <t>Second Class</t>
  </si>
  <si>
    <t>CG-9365</t>
  </si>
  <si>
    <t>Customer 87</t>
  </si>
  <si>
    <t>Chicago</t>
  </si>
  <si>
    <t>PROD-530</t>
  </si>
  <si>
    <t>Labels Product 23</t>
  </si>
  <si>
    <t>$68.62</t>
  </si>
  <si>
    <t>-$4.39</t>
  </si>
  <si>
    <t>CA-2022-10012</t>
  </si>
  <si>
    <t>CG-2648</t>
  </si>
  <si>
    <t>Customer 104</t>
  </si>
  <si>
    <t>Home Office</t>
  </si>
  <si>
    <t>New York</t>
  </si>
  <si>
    <t>East</t>
  </si>
  <si>
    <t>PROD-353</t>
  </si>
  <si>
    <t>Technology</t>
  </si>
  <si>
    <t>Phones</t>
  </si>
  <si>
    <t>Phones Product 3</t>
  </si>
  <si>
    <t>$364.79</t>
  </si>
  <si>
    <t>$37.00</t>
  </si>
  <si>
    <t>CA-2022-10178</t>
  </si>
  <si>
    <t>CG-3743</t>
  </si>
  <si>
    <t>Customer 64</t>
  </si>
  <si>
    <t>San Francisco</t>
  </si>
  <si>
    <t>West</t>
  </si>
  <si>
    <t>PROD-189</t>
  </si>
  <si>
    <t>Labels Product 30</t>
  </si>
  <si>
    <t>$38.08</t>
  </si>
  <si>
    <t>$5.17</t>
  </si>
  <si>
    <t>CA-2022-10047</t>
  </si>
  <si>
    <t>CG-6984</t>
  </si>
  <si>
    <t>Customer 23</t>
  </si>
  <si>
    <t>Philadelphia</t>
  </si>
  <si>
    <t>PROD-764</t>
  </si>
  <si>
    <t>Art</t>
  </si>
  <si>
    <t>Art Product 17</t>
  </si>
  <si>
    <t>$89.77</t>
  </si>
  <si>
    <t>$8.64</t>
  </si>
  <si>
    <t>CA-2022-10174</t>
  </si>
  <si>
    <t>CG-9835</t>
  </si>
  <si>
    <t>PROD-709</t>
  </si>
  <si>
    <t>Labels Product 2</t>
  </si>
  <si>
    <t>$39.60</t>
  </si>
  <si>
    <t>$0.51</t>
  </si>
  <si>
    <t>CA-2022-10540</t>
  </si>
  <si>
    <t>CG-3649</t>
  </si>
  <si>
    <t>Customer 52</t>
  </si>
  <si>
    <t>Nashville</t>
  </si>
  <si>
    <t>PROD-107</t>
  </si>
  <si>
    <t>Phones Product 11</t>
  </si>
  <si>
    <t>$284.54</t>
  </si>
  <si>
    <t>$10.88</t>
  </si>
  <si>
    <t>CA-2022-10087</t>
  </si>
  <si>
    <t>CG-3365</t>
  </si>
  <si>
    <t>Customer 60</t>
  </si>
  <si>
    <t>PROD-330</t>
  </si>
  <si>
    <t>Copiers</t>
  </si>
  <si>
    <t>Copiers Product 25</t>
  </si>
  <si>
    <t>$258.92</t>
  </si>
  <si>
    <t>$9.81</t>
  </si>
  <si>
    <t>CA-2022-10476</t>
  </si>
  <si>
    <t>CG-9146</t>
  </si>
  <si>
    <t>Customer 21</t>
  </si>
  <si>
    <t>PROD-437</t>
  </si>
  <si>
    <t>Art Product 11</t>
  </si>
  <si>
    <t>$16.13</t>
  </si>
  <si>
    <t>$3.33</t>
  </si>
  <si>
    <t>CA-2022-10162</t>
  </si>
  <si>
    <t>CG-5897</t>
  </si>
  <si>
    <t>Customer 128</t>
  </si>
  <si>
    <t>PROD-457</t>
  </si>
  <si>
    <t>Furnishings</t>
  </si>
  <si>
    <t>Furnishings Product 11</t>
  </si>
  <si>
    <t>$217.73</t>
  </si>
  <si>
    <t>-$3.27</t>
  </si>
  <si>
    <t>CA-2022-10432</t>
  </si>
  <si>
    <t>CG-1556</t>
  </si>
  <si>
    <t>Customer 137</t>
  </si>
  <si>
    <t>PROD-249</t>
  </si>
  <si>
    <t>Paper</t>
  </si>
  <si>
    <t>Paper Product 18</t>
  </si>
  <si>
    <t>$93.80</t>
  </si>
  <si>
    <t>$18.11</t>
  </si>
  <si>
    <t>CA-2022-10061</t>
  </si>
  <si>
    <t>CG-5225</t>
  </si>
  <si>
    <t>Customer 54</t>
  </si>
  <si>
    <t>PROD-918</t>
  </si>
  <si>
    <t>Accessories</t>
  </si>
  <si>
    <t>Accessories Product 21</t>
  </si>
  <si>
    <t>$193.73</t>
  </si>
  <si>
    <t>$40.45</t>
  </si>
  <si>
    <t>CA-2022-10254</t>
  </si>
  <si>
    <t>CG-6578</t>
  </si>
  <si>
    <t>Customer 11</t>
  </si>
  <si>
    <t>PROD-504</t>
  </si>
  <si>
    <t>Furnishings Product 22</t>
  </si>
  <si>
    <t>$54.46</t>
  </si>
  <si>
    <t>$4.32</t>
  </si>
  <si>
    <t>CA-2022-10386</t>
  </si>
  <si>
    <t>CG-5133</t>
  </si>
  <si>
    <t>Customer 148</t>
  </si>
  <si>
    <t>Denver</t>
  </si>
  <si>
    <t>PROD-636</t>
  </si>
  <si>
    <t>$311.57</t>
  </si>
  <si>
    <t>-$31.86</t>
  </si>
  <si>
    <t>CA-2022-10542</t>
  </si>
  <si>
    <t>CG-6037</t>
  </si>
  <si>
    <t>Customer 142</t>
  </si>
  <si>
    <t>Boston</t>
  </si>
  <si>
    <t>PROD-753</t>
  </si>
  <si>
    <t>Furnishings Product 1</t>
  </si>
  <si>
    <t>$230.15</t>
  </si>
  <si>
    <t>$2.61</t>
  </si>
  <si>
    <t>CA-2022-10042</t>
  </si>
  <si>
    <t>CG-2460</t>
  </si>
  <si>
    <t>Customer 150</t>
  </si>
  <si>
    <t>PROD-602</t>
  </si>
  <si>
    <t>Storage</t>
  </si>
  <si>
    <t>Storage Product 16</t>
  </si>
  <si>
    <t>$114.88</t>
  </si>
  <si>
    <t>$9.64</t>
  </si>
  <si>
    <t>CA-2022-10407</t>
  </si>
  <si>
    <t>CG-8280</t>
  </si>
  <si>
    <t>Customer 149</t>
  </si>
  <si>
    <t>Los Angeles</t>
  </si>
  <si>
    <t>PROD-952</t>
  </si>
  <si>
    <t>Paper Product 5</t>
  </si>
  <si>
    <t>$61.14</t>
  </si>
  <si>
    <t>$13.15</t>
  </si>
  <si>
    <t>CA-2022-10200</t>
  </si>
  <si>
    <t>CG-4901</t>
  </si>
  <si>
    <t>Customer 58</t>
  </si>
  <si>
    <t>PROD-430</t>
  </si>
  <si>
    <t>Furnishings Product 16</t>
  </si>
  <si>
    <t>$369.64</t>
  </si>
  <si>
    <t>$38.62</t>
  </si>
  <si>
    <t>CA-2022-10412</t>
  </si>
  <si>
    <t>CG-9047</t>
  </si>
  <si>
    <t>Customer 126</t>
  </si>
  <si>
    <t>PROD-851</t>
  </si>
  <si>
    <t>Envelopes</t>
  </si>
  <si>
    <t>Envelopes Product 8</t>
  </si>
  <si>
    <t>$116.29</t>
  </si>
  <si>
    <t>$4.83</t>
  </si>
  <si>
    <t>CA-2022-10292</t>
  </si>
  <si>
    <t>CG-7297</t>
  </si>
  <si>
    <t>Customer 132</t>
  </si>
  <si>
    <t>PROD-371</t>
  </si>
  <si>
    <t>Tables</t>
  </si>
  <si>
    <t>Tables Product 15</t>
  </si>
  <si>
    <t>$339.58</t>
  </si>
  <si>
    <t>-$1.30</t>
  </si>
  <si>
    <t>CA-2022-10127</t>
  </si>
  <si>
    <t>CG-8531</t>
  </si>
  <si>
    <t>Customer 57</t>
  </si>
  <si>
    <t>Charlotte</t>
  </si>
  <si>
    <t>PROD-695</t>
  </si>
  <si>
    <t>Envelopes Product 24</t>
  </si>
  <si>
    <t>$67.96</t>
  </si>
  <si>
    <t>$15.06</t>
  </si>
  <si>
    <t>CA-2022-10380</t>
  </si>
  <si>
    <t>CG-4981</t>
  </si>
  <si>
    <t>Customer 22</t>
  </si>
  <si>
    <t>Richmond</t>
  </si>
  <si>
    <t>PROD-762</t>
  </si>
  <si>
    <t>Binders</t>
  </si>
  <si>
    <t>Binders Product 16</t>
  </si>
  <si>
    <t>$71.94</t>
  </si>
  <si>
    <t>$10.22</t>
  </si>
  <si>
    <t>CA-2022-10272</t>
  </si>
  <si>
    <t>CG-9792</t>
  </si>
  <si>
    <t>Customer 125</t>
  </si>
  <si>
    <t>PROD-665</t>
  </si>
  <si>
    <t>Bookcases</t>
  </si>
  <si>
    <t>Bookcases Product 25</t>
  </si>
  <si>
    <t>$32.15</t>
  </si>
  <si>
    <t>$2.03</t>
  </si>
  <si>
    <t>CA-2022-10205</t>
  </si>
  <si>
    <t>CG-3472</t>
  </si>
  <si>
    <t>Customer 118</t>
  </si>
  <si>
    <t>Seattle</t>
  </si>
  <si>
    <t>PROD-564</t>
  </si>
  <si>
    <t>Labels Product 12</t>
  </si>
  <si>
    <t>$31.46</t>
  </si>
  <si>
    <t>$4.68</t>
  </si>
  <si>
    <t>CA-2022-10203</t>
  </si>
  <si>
    <t>CG-9312</t>
  </si>
  <si>
    <t>Customer 129</t>
  </si>
  <si>
    <t>Detroit</t>
  </si>
  <si>
    <t>PROD-137</t>
  </si>
  <si>
    <t>Labels Product 21</t>
  </si>
  <si>
    <t>$184.97</t>
  </si>
  <si>
    <t>$39.13</t>
  </si>
  <si>
    <t>CA-2022-10258</t>
  </si>
  <si>
    <t>CG-5566</t>
  </si>
  <si>
    <t>Customer 34</t>
  </si>
  <si>
    <t>Dallas</t>
  </si>
  <si>
    <t>PROD-526</t>
  </si>
  <si>
    <t>Furnishings Product 30</t>
  </si>
  <si>
    <t>$86.77</t>
  </si>
  <si>
    <t>$12.20</t>
  </si>
  <si>
    <t>CA-2022-10522</t>
  </si>
  <si>
    <t>CG-6731</t>
  </si>
  <si>
    <t>Customer 51</t>
  </si>
  <si>
    <t>PROD-492</t>
  </si>
  <si>
    <t>Accessories Product 12</t>
  </si>
  <si>
    <t>$212.35</t>
  </si>
  <si>
    <t>-$8.52</t>
  </si>
  <si>
    <t>CA-2022-10491</t>
  </si>
  <si>
    <t>CG-4683</t>
  </si>
  <si>
    <t>Customer 49</t>
  </si>
  <si>
    <t>Houston</t>
  </si>
  <si>
    <t>PROD-357</t>
  </si>
  <si>
    <t>Tables Product 24</t>
  </si>
  <si>
    <t>$146.52</t>
  </si>
  <si>
    <t>$7.52</t>
  </si>
  <si>
    <t>CA-2022-10520</t>
  </si>
  <si>
    <t>CG-8102</t>
  </si>
  <si>
    <t>Customer 65</t>
  </si>
  <si>
    <t>PROD-846</t>
  </si>
  <si>
    <t>Copiers Product 26</t>
  </si>
  <si>
    <t>$404.40</t>
  </si>
  <si>
    <t>$55.91</t>
  </si>
  <si>
    <t>CA-2022-10286</t>
  </si>
  <si>
    <t>CG-2366</t>
  </si>
  <si>
    <t>PROD-627</t>
  </si>
  <si>
    <t>Phones Product 28</t>
  </si>
  <si>
    <t>$273.07</t>
  </si>
  <si>
    <t>$61.52</t>
  </si>
  <si>
    <t>CA-2022-10298</t>
  </si>
  <si>
    <t>CG-4829</t>
  </si>
  <si>
    <t>PROD-563</t>
  </si>
  <si>
    <t>Envelopes Product 6</t>
  </si>
  <si>
    <t>$33.45</t>
  </si>
  <si>
    <t>-$0.07</t>
  </si>
  <si>
    <t>CA-2022-10322</t>
  </si>
  <si>
    <t>CG-2172</t>
  </si>
  <si>
    <t>Customer 121</t>
  </si>
  <si>
    <t>PROD-939</t>
  </si>
  <si>
    <t>Bookcases Product 10</t>
  </si>
  <si>
    <t>$311.62</t>
  </si>
  <si>
    <t>-$22.75</t>
  </si>
  <si>
    <t>CA-2022-10396</t>
  </si>
  <si>
    <t>CG-3486</t>
  </si>
  <si>
    <t>Customer 50</t>
  </si>
  <si>
    <t>PROD-217</t>
  </si>
  <si>
    <t>Envelopes Product 10</t>
  </si>
  <si>
    <t>$16.28</t>
  </si>
  <si>
    <t>$3.72</t>
  </si>
  <si>
    <t>CA-2022-10395</t>
  </si>
  <si>
    <t>CG-3510</t>
  </si>
  <si>
    <t>Customer 29</t>
  </si>
  <si>
    <t>Phoenix</t>
  </si>
  <si>
    <t>PROD-718</t>
  </si>
  <si>
    <t>Bookcases Product 26</t>
  </si>
  <si>
    <t>$272.84</t>
  </si>
  <si>
    <t>$40.23</t>
  </si>
  <si>
    <t>CA-2022-10430</t>
  </si>
  <si>
    <t>CG-3711</t>
  </si>
  <si>
    <t>Customer 26</t>
  </si>
  <si>
    <t>PROD-435</t>
  </si>
  <si>
    <t>Accessories Product 6</t>
  </si>
  <si>
    <t>$182.35</t>
  </si>
  <si>
    <t>$51.28</t>
  </si>
  <si>
    <t>CA-2022-10493</t>
  </si>
  <si>
    <t>CG-4148</t>
  </si>
  <si>
    <t>Customer 1</t>
  </si>
  <si>
    <t>PROD-230</t>
  </si>
  <si>
    <t>Labels Product 3</t>
  </si>
  <si>
    <t>$63.50</t>
  </si>
  <si>
    <t>-$7.31</t>
  </si>
  <si>
    <t>CA-2022-10495</t>
  </si>
  <si>
    <t>CG-4080</t>
  </si>
  <si>
    <t>Customer 53</t>
  </si>
  <si>
    <t>PROD-415</t>
  </si>
  <si>
    <t>Chairs Product 14</t>
  </si>
  <si>
    <t>$92.93</t>
  </si>
  <si>
    <t>$11.37</t>
  </si>
  <si>
    <t>CA-2022-10243</t>
  </si>
  <si>
    <t>CG-3052</t>
  </si>
  <si>
    <t>Customer 122</t>
  </si>
  <si>
    <t>PROD-792</t>
  </si>
  <si>
    <t>Copiers Product 23</t>
  </si>
  <si>
    <t>$531.12</t>
  </si>
  <si>
    <t>$151.90</t>
  </si>
  <si>
    <t>CA-2022-10513</t>
  </si>
  <si>
    <t>CG-7922</t>
  </si>
  <si>
    <t>Customer 2</t>
  </si>
  <si>
    <t>PROD-293</t>
  </si>
  <si>
    <t>Paper Product 2</t>
  </si>
  <si>
    <t>$90.27</t>
  </si>
  <si>
    <t>-$5.90</t>
  </si>
  <si>
    <t>CA-2022-10393</t>
  </si>
  <si>
    <t>CG-8482</t>
  </si>
  <si>
    <t>PROD-835</t>
  </si>
  <si>
    <t>Phones Product 17</t>
  </si>
  <si>
    <t>$344.60</t>
  </si>
  <si>
    <t>$44.60</t>
  </si>
  <si>
    <t>CA-2022-10083</t>
  </si>
  <si>
    <t>CG-9442</t>
  </si>
  <si>
    <t>Customer 127</t>
  </si>
  <si>
    <t>PROD-558</t>
  </si>
  <si>
    <t>Phones Product 20</t>
  </si>
  <si>
    <t>$228.69</t>
  </si>
  <si>
    <t>$26.50</t>
  </si>
  <si>
    <t>CA-2022-10446</t>
  </si>
  <si>
    <t>CG-9333</t>
  </si>
  <si>
    <t>PROD-183</t>
  </si>
  <si>
    <t>Furnishings Product 15</t>
  </si>
  <si>
    <t>$19.81</t>
  </si>
  <si>
    <t>-$0.35</t>
  </si>
  <si>
    <t>CA-2022-10497</t>
  </si>
  <si>
    <t>CG-9370</t>
  </si>
  <si>
    <t>Customer 32</t>
  </si>
  <si>
    <t>Atlanta</t>
  </si>
  <si>
    <t>PROD-549</t>
  </si>
  <si>
    <t>Furnishings Product 25</t>
  </si>
  <si>
    <t>$93.84</t>
  </si>
  <si>
    <t>$17.40</t>
  </si>
  <si>
    <t>CA-2022-10310</t>
  </si>
  <si>
    <t>CG-7943</t>
  </si>
  <si>
    <t>Customer 105</t>
  </si>
  <si>
    <t>PROD-537</t>
  </si>
  <si>
    <t>Accessories Product 15</t>
  </si>
  <si>
    <t>$98.21</t>
  </si>
  <si>
    <t>$8.61</t>
  </si>
  <si>
    <t>CA-2022-10267</t>
  </si>
  <si>
    <t>CG-8774</t>
  </si>
  <si>
    <t>PROD-936</t>
  </si>
  <si>
    <t>Storage Product 28</t>
  </si>
  <si>
    <t>$52.32</t>
  </si>
  <si>
    <t>$7.98</t>
  </si>
  <si>
    <t>CA-2022-10284</t>
  </si>
  <si>
    <t>Same Day</t>
  </si>
  <si>
    <t>CG-2141</t>
  </si>
  <si>
    <t>Customer 82</t>
  </si>
  <si>
    <t>PROD-165</t>
  </si>
  <si>
    <t>Chairs Product 10</t>
  </si>
  <si>
    <t>$220.05</t>
  </si>
  <si>
    <t>$26.42</t>
  </si>
  <si>
    <t>CA-2022-10038</t>
  </si>
  <si>
    <t>CG-7777</t>
  </si>
  <si>
    <t>PROD-888</t>
  </si>
  <si>
    <t>Storage Product 5</t>
  </si>
  <si>
    <t>$42.89</t>
  </si>
  <si>
    <t>$0.05</t>
  </si>
  <si>
    <t>CA-2022-10185</t>
  </si>
  <si>
    <t>CG-4607</t>
  </si>
  <si>
    <t>Customer 24</t>
  </si>
  <si>
    <t>PROD-103</t>
  </si>
  <si>
    <t>Storage Product 3</t>
  </si>
  <si>
    <t>$122.22</t>
  </si>
  <si>
    <t>-$3.85</t>
  </si>
  <si>
    <t>CA-2022-10273</t>
  </si>
  <si>
    <t>CG-1920</t>
  </si>
  <si>
    <t>PROD-964</t>
  </si>
  <si>
    <t>Machines</t>
  </si>
  <si>
    <t>Machines Product 4</t>
  </si>
  <si>
    <t>$194.12</t>
  </si>
  <si>
    <t>$18.98</t>
  </si>
  <si>
    <t>CA-2022-10053</t>
  </si>
  <si>
    <t>CG-2205</t>
  </si>
  <si>
    <t>Customer 25</t>
  </si>
  <si>
    <t>PROD-279</t>
  </si>
  <si>
    <t>Binders Product 6</t>
  </si>
  <si>
    <t>$167.12</t>
  </si>
  <si>
    <t>$13.51</t>
  </si>
  <si>
    <t>CA-2022-10173</t>
  </si>
  <si>
    <t>CG-5063</t>
  </si>
  <si>
    <t>Customer 33</t>
  </si>
  <si>
    <t>PROD-618</t>
  </si>
  <si>
    <t>Furnishings Product 20</t>
  </si>
  <si>
    <t>$207.80</t>
  </si>
  <si>
    <t>-$19.93</t>
  </si>
  <si>
    <t>CA-2022-10010</t>
  </si>
  <si>
    <t>CG-8098</t>
  </si>
  <si>
    <t>Customer 147</t>
  </si>
  <si>
    <t>PROD-610</t>
  </si>
  <si>
    <t>Art Product 19</t>
  </si>
  <si>
    <t>$62.75</t>
  </si>
  <si>
    <t>$12.67</t>
  </si>
  <si>
    <t>CA-2022-10139</t>
  </si>
  <si>
    <t>CG-8568</t>
  </si>
  <si>
    <t>Customer 39</t>
  </si>
  <si>
    <t>PROD-944</t>
  </si>
  <si>
    <t>Bookcases Product 15</t>
  </si>
  <si>
    <t>$7.41</t>
  </si>
  <si>
    <t>CA-2022-10155</t>
  </si>
  <si>
    <t>CG-8151</t>
  </si>
  <si>
    <t>Miami</t>
  </si>
  <si>
    <t>PROD-264</t>
  </si>
  <si>
    <t>Envelopes Product 9</t>
  </si>
  <si>
    <t>$16.24</t>
  </si>
  <si>
    <t>-$3.72</t>
  </si>
  <si>
    <t>CA-2022-10091</t>
  </si>
  <si>
    <t>CG-2969</t>
  </si>
  <si>
    <t>Customer 124</t>
  </si>
  <si>
    <t>Machines Product 18</t>
  </si>
  <si>
    <t>$296.97</t>
  </si>
  <si>
    <t>$34.46</t>
  </si>
  <si>
    <t>CA-2022-10092</t>
  </si>
  <si>
    <t>CG-1986</t>
  </si>
  <si>
    <t>Customer 72</t>
  </si>
  <si>
    <t>PROD-913</t>
  </si>
  <si>
    <t>Labels Product 4</t>
  </si>
  <si>
    <t>$61.64</t>
  </si>
  <si>
    <t>$13.72</t>
  </si>
  <si>
    <t>CA-2022-10478</t>
  </si>
  <si>
    <t>CG-5482</t>
  </si>
  <si>
    <t>Customer 85</t>
  </si>
  <si>
    <t>Storage Product 4</t>
  </si>
  <si>
    <t>$51.18</t>
  </si>
  <si>
    <t>$12.16</t>
  </si>
  <si>
    <t>CA-2022-10261</t>
  </si>
  <si>
    <t>CG-6505</t>
  </si>
  <si>
    <t>Customer 106</t>
  </si>
  <si>
    <t>PROD-207</t>
  </si>
  <si>
    <t>Envelopes Product 19</t>
  </si>
  <si>
    <t>$103.31</t>
  </si>
  <si>
    <t>$2.05</t>
  </si>
  <si>
    <t>CA-2022-10088</t>
  </si>
  <si>
    <t>CG-7430</t>
  </si>
  <si>
    <t>Customer 139</t>
  </si>
  <si>
    <t>PROD-806</t>
  </si>
  <si>
    <t>Binders Product 22</t>
  </si>
  <si>
    <t>$131.64</t>
  </si>
  <si>
    <t>$23.12</t>
  </si>
  <si>
    <t>CA-2022-10314</t>
  </si>
  <si>
    <t>CG-5136</t>
  </si>
  <si>
    <t>Customer 88</t>
  </si>
  <si>
    <t>PROD-465</t>
  </si>
  <si>
    <t>Machines Product 24</t>
  </si>
  <si>
    <t>$163.93</t>
  </si>
  <si>
    <t>$45.60</t>
  </si>
  <si>
    <t>CA-2022-10050</t>
  </si>
  <si>
    <t>CG-1345</t>
  </si>
  <si>
    <t>Customer 46</t>
  </si>
  <si>
    <t>PROD-317</t>
  </si>
  <si>
    <t>Art Product 13</t>
  </si>
  <si>
    <t>$272.44</t>
  </si>
  <si>
    <t>$30.43</t>
  </si>
  <si>
    <t>CA-2022-10145</t>
  </si>
  <si>
    <t>CG-7716</t>
  </si>
  <si>
    <t>Customer 12</t>
  </si>
  <si>
    <t>PROD-829</t>
  </si>
  <si>
    <t>Tables Product 27</t>
  </si>
  <si>
    <t>$288.00</t>
  </si>
  <si>
    <t>$23.99</t>
  </si>
  <si>
    <t>CA-2022-10555</t>
  </si>
  <si>
    <t>CG-2816</t>
  </si>
  <si>
    <t>PROD-573</t>
  </si>
  <si>
    <t>Labels Product 16</t>
  </si>
  <si>
    <t>$38.00</t>
  </si>
  <si>
    <t>$4.03</t>
  </si>
  <si>
    <t>CA-2022-10356</t>
  </si>
  <si>
    <t>CG-1821</t>
  </si>
  <si>
    <t>Customer 102</t>
  </si>
  <si>
    <t>Chairs Product 28</t>
  </si>
  <si>
    <t>$208.07</t>
  </si>
  <si>
    <t>$0.52</t>
  </si>
  <si>
    <t>CA-2022-10379</t>
  </si>
  <si>
    <t>CG-1752</t>
  </si>
  <si>
    <t>Customer 130</t>
  </si>
  <si>
    <t>PROD-745</t>
  </si>
  <si>
    <t>Bookcases Product 14</t>
  </si>
  <si>
    <t>$108.45</t>
  </si>
  <si>
    <t>$11.89</t>
  </si>
  <si>
    <t>CA-2022-10240</t>
  </si>
  <si>
    <t>CG-9002</t>
  </si>
  <si>
    <t>Customer 5</t>
  </si>
  <si>
    <t>PROD-382</t>
  </si>
  <si>
    <t>Envelopes Product 16</t>
  </si>
  <si>
    <t>$64.42</t>
  </si>
  <si>
    <t>$14.62</t>
  </si>
  <si>
    <t>CA-2022-10106</t>
  </si>
  <si>
    <t>CG-8693</t>
  </si>
  <si>
    <t>Customer 73</t>
  </si>
  <si>
    <t>Art Product 3</t>
  </si>
  <si>
    <t>$162.31</t>
  </si>
  <si>
    <t>$11.16</t>
  </si>
  <si>
    <t>CA-2022-10442</t>
  </si>
  <si>
    <t>CG-4227</t>
  </si>
  <si>
    <t>PROD-429</t>
  </si>
  <si>
    <t>$53.84</t>
  </si>
  <si>
    <t>$3.79</t>
  </si>
  <si>
    <t>CA-2022-10441</t>
  </si>
  <si>
    <t>CG-8593</t>
  </si>
  <si>
    <t>PROD-624</t>
  </si>
  <si>
    <t>$90.47</t>
  </si>
  <si>
    <t>-$6.44</t>
  </si>
  <si>
    <t>CA-2022-10242</t>
  </si>
  <si>
    <t>CG-3672</t>
  </si>
  <si>
    <t>Customer 107</t>
  </si>
  <si>
    <t>PROD-402</t>
  </si>
  <si>
    <t>Phones Product 23</t>
  </si>
  <si>
    <t>$169.95</t>
  </si>
  <si>
    <t>$56.07</t>
  </si>
  <si>
    <t>CA-2022-10424</t>
  </si>
  <si>
    <t>CG-6781</t>
  </si>
  <si>
    <t>PROD-190</t>
  </si>
  <si>
    <t>Copiers Product 13</t>
  </si>
  <si>
    <t>$451.86</t>
  </si>
  <si>
    <t>-$6.67</t>
  </si>
  <si>
    <t>CA-2022-10253</t>
  </si>
  <si>
    <t>CG-4246</t>
  </si>
  <si>
    <t>Customer 69</t>
  </si>
  <si>
    <t>PROD-355</t>
  </si>
  <si>
    <t>Paper Product 23</t>
  </si>
  <si>
    <t>$36.50</t>
  </si>
  <si>
    <t>-$2.74</t>
  </si>
  <si>
    <t>CA-2022-10575</t>
  </si>
  <si>
    <t>CG-5970</t>
  </si>
  <si>
    <t>Customer 120</t>
  </si>
  <si>
    <t>PROD-110</t>
  </si>
  <si>
    <t>Binders Product 12</t>
  </si>
  <si>
    <t>$51.63</t>
  </si>
  <si>
    <t>$2.58</t>
  </si>
  <si>
    <t>CA-2022-10582</t>
  </si>
  <si>
    <t>CG-1443</t>
  </si>
  <si>
    <t>Customer 96</t>
  </si>
  <si>
    <t>PROD-763</t>
  </si>
  <si>
    <t>Bookcases Product 28</t>
  </si>
  <si>
    <t>$401.53</t>
  </si>
  <si>
    <t>$32.29</t>
  </si>
  <si>
    <t>CA-2022-10316</t>
  </si>
  <si>
    <t>CG-8543</t>
  </si>
  <si>
    <t>PROD-206</t>
  </si>
  <si>
    <t>Furnishings Product 12</t>
  </si>
  <si>
    <t>$358.30</t>
  </si>
  <si>
    <t>$15.45</t>
  </si>
  <si>
    <t>CA-2022-10111</t>
  </si>
  <si>
    <t>CG-8993</t>
  </si>
  <si>
    <t>PROD-164</t>
  </si>
  <si>
    <t>Chairs Product 13</t>
  </si>
  <si>
    <t>$126.44</t>
  </si>
  <si>
    <t>-$12.28</t>
  </si>
  <si>
    <t>CA-2022-10372</t>
  </si>
  <si>
    <t>CG-7713</t>
  </si>
  <si>
    <t>Customer 112</t>
  </si>
  <si>
    <t>PROD-560</t>
  </si>
  <si>
    <t>Binders Product 4</t>
  </si>
  <si>
    <t>$103.87</t>
  </si>
  <si>
    <t>$2.79</t>
  </si>
  <si>
    <t>CA-2022-10562</t>
  </si>
  <si>
    <t>CG-1565</t>
  </si>
  <si>
    <t>Customer 86</t>
  </si>
  <si>
    <t>PROD-803</t>
  </si>
  <si>
    <t>Bookcases Product 23</t>
  </si>
  <si>
    <t>$184.06</t>
  </si>
  <si>
    <t>$6.31</t>
  </si>
  <si>
    <t>CA-2022-10124</t>
  </si>
  <si>
    <t>CG-6469</t>
  </si>
  <si>
    <t>Customer 113</t>
  </si>
  <si>
    <t>PROD-245</t>
  </si>
  <si>
    <t>Envelopes Product 20</t>
  </si>
  <si>
    <t>$102.26</t>
  </si>
  <si>
    <t>$13.86</t>
  </si>
  <si>
    <t>CA-2022-10086</t>
  </si>
  <si>
    <t>CG-2394</t>
  </si>
  <si>
    <t>PROD-629</t>
  </si>
  <si>
    <t>Art Product 8</t>
  </si>
  <si>
    <t>$14.20</t>
  </si>
  <si>
    <t>$1.14</t>
  </si>
  <si>
    <t>CA-2022-10416</t>
  </si>
  <si>
    <t>CG-5607</t>
  </si>
  <si>
    <t>Customer 146</t>
  </si>
  <si>
    <t>Paper Product 27</t>
  </si>
  <si>
    <t>$20.76</t>
  </si>
  <si>
    <t>$3.69</t>
  </si>
  <si>
    <t>CA-2022-10158</t>
  </si>
  <si>
    <t>CG-2960</t>
  </si>
  <si>
    <t>PROD-623</t>
  </si>
  <si>
    <t>Phones Product 6</t>
  </si>
  <si>
    <t>$174.80</t>
  </si>
  <si>
    <t>$7.36</t>
  </si>
  <si>
    <t>CA-2022-10422</t>
  </si>
  <si>
    <t>CG-2075</t>
  </si>
  <si>
    <t>Customer 31</t>
  </si>
  <si>
    <t>PROD-500</t>
  </si>
  <si>
    <t>Binders Product 23</t>
  </si>
  <si>
    <t>$63.07</t>
  </si>
  <si>
    <t>$17.33</t>
  </si>
  <si>
    <t>CA-2022-10002</t>
  </si>
  <si>
    <t>CG-9226</t>
  </si>
  <si>
    <t>Customer 81</t>
  </si>
  <si>
    <t>PROD-971</t>
  </si>
  <si>
    <t>Accessories Product 4</t>
  </si>
  <si>
    <t>$133.90</t>
  </si>
  <si>
    <t>$20.53</t>
  </si>
  <si>
    <t>CA-2022-10029</t>
  </si>
  <si>
    <t>CG-4072</t>
  </si>
  <si>
    <t>Customer 131</t>
  </si>
  <si>
    <t>Columbus</t>
  </si>
  <si>
    <t>PROD-289</t>
  </si>
  <si>
    <t>Envelopes Product 25</t>
  </si>
  <si>
    <t>$111.00</t>
  </si>
  <si>
    <t>$27.70</t>
  </si>
  <si>
    <t>CA-2022-10028</t>
  </si>
  <si>
    <t>CG-4141</t>
  </si>
  <si>
    <t>Customer 19</t>
  </si>
  <si>
    <t>PROD-975</t>
  </si>
  <si>
    <t>Labels Product 22</t>
  </si>
  <si>
    <t>$89.69</t>
  </si>
  <si>
    <t>$15.78</t>
  </si>
  <si>
    <t>CA-2022-10181</t>
  </si>
  <si>
    <t>CG-8432</t>
  </si>
  <si>
    <t>PROD-771</t>
  </si>
  <si>
    <t>Paper Product 25</t>
  </si>
  <si>
    <t>$81.53</t>
  </si>
  <si>
    <t>$7.07</t>
  </si>
  <si>
    <t>CA-2022-10279</t>
  </si>
  <si>
    <t>CG-7748</t>
  </si>
  <si>
    <t>PROD-271</t>
  </si>
  <si>
    <t>Tables Product 6</t>
  </si>
  <si>
    <t>$114.41</t>
  </si>
  <si>
    <t>-$7.48</t>
  </si>
  <si>
    <t>CA-2022-10370</t>
  </si>
  <si>
    <t>CG-5235</t>
  </si>
  <si>
    <t>PROD-858</t>
  </si>
  <si>
    <t>Paper Product 12</t>
  </si>
  <si>
    <t>$64.70</t>
  </si>
  <si>
    <t>-$1.93</t>
  </si>
  <si>
    <t>CA-2022-10054</t>
  </si>
  <si>
    <t>CG-7704</t>
  </si>
  <si>
    <t>$15.26</t>
  </si>
  <si>
    <t>$1.49</t>
  </si>
  <si>
    <t>CA-2022-10539</t>
  </si>
  <si>
    <t>CG-6289</t>
  </si>
  <si>
    <t>Customer 119</t>
  </si>
  <si>
    <t>PROD-480</t>
  </si>
  <si>
    <t>$22.89</t>
  </si>
  <si>
    <t>$3.57</t>
  </si>
  <si>
    <t>CA-2022-10353</t>
  </si>
  <si>
    <t>CG-6065</t>
  </si>
  <si>
    <t>Customer 97</t>
  </si>
  <si>
    <t>PROD-739</t>
  </si>
  <si>
    <t>Paper Product 13</t>
  </si>
  <si>
    <t>$89.82</t>
  </si>
  <si>
    <t>-$9.76</t>
  </si>
  <si>
    <t>CA-2022-10444</t>
  </si>
  <si>
    <t>CG-8844</t>
  </si>
  <si>
    <t>PROD-390</t>
  </si>
  <si>
    <t>$101.71</t>
  </si>
  <si>
    <t>-$9.42</t>
  </si>
  <si>
    <t>CA-2022-10231</t>
  </si>
  <si>
    <t>CG-2574</t>
  </si>
  <si>
    <t>Phones Product 27</t>
  </si>
  <si>
    <t>$277.81</t>
  </si>
  <si>
    <t>$32.50</t>
  </si>
  <si>
    <t>CA-2022-10222</t>
  </si>
  <si>
    <t>CG-7982</t>
  </si>
  <si>
    <t>Customer 4</t>
  </si>
  <si>
    <t>PROD-754</t>
  </si>
  <si>
    <t>Copiers Product 8</t>
  </si>
  <si>
    <t>$322.15</t>
  </si>
  <si>
    <t>$14.81</t>
  </si>
  <si>
    <t>CA-2022-10410</t>
  </si>
  <si>
    <t>CG-9817</t>
  </si>
  <si>
    <t>Customer 28</t>
  </si>
  <si>
    <t>Bookcases Product 8</t>
  </si>
  <si>
    <t>$523.59</t>
  </si>
  <si>
    <t>-$34.49</t>
  </si>
  <si>
    <t>CA-2022-10192</t>
  </si>
  <si>
    <t>CG-4093</t>
  </si>
  <si>
    <t>Customer 115</t>
  </si>
  <si>
    <t>Phones Product 7</t>
  </si>
  <si>
    <t>$91.85</t>
  </si>
  <si>
    <t>$6.07</t>
  </si>
  <si>
    <t>CA-2022-10152</t>
  </si>
  <si>
    <t>CG-7583</t>
  </si>
  <si>
    <t>Customer 7</t>
  </si>
  <si>
    <t>PROD-520</t>
  </si>
  <si>
    <t>$407.53</t>
  </si>
  <si>
    <t>$24.69</t>
  </si>
  <si>
    <t>CA-2022-10123</t>
  </si>
  <si>
    <t>CG-4959</t>
  </si>
  <si>
    <t>PROD-769</t>
  </si>
  <si>
    <t>Chairs Product 18</t>
  </si>
  <si>
    <t>$461.12</t>
  </si>
  <si>
    <t>$21.28</t>
  </si>
  <si>
    <t>CA-2022-10457</t>
  </si>
  <si>
    <t>CG-6873</t>
  </si>
  <si>
    <t>Customer 43</t>
  </si>
  <si>
    <t>PROD-919</t>
  </si>
  <si>
    <t>Accessories Product 5</t>
  </si>
  <si>
    <t>$282.18</t>
  </si>
  <si>
    <t>$58.70</t>
  </si>
  <si>
    <t>CA-2022-10465</t>
  </si>
  <si>
    <t>CG-2741</t>
  </si>
  <si>
    <t>PROD-810</t>
  </si>
  <si>
    <t>Chairs Product 4</t>
  </si>
  <si>
    <t>$291.66</t>
  </si>
  <si>
    <t>-$63.16</t>
  </si>
  <si>
    <t>CA-2022-10084</t>
  </si>
  <si>
    <t>CG-2266</t>
  </si>
  <si>
    <t>PROD-666</t>
  </si>
  <si>
    <t>Machines Product 14</t>
  </si>
  <si>
    <t>$629.91</t>
  </si>
  <si>
    <t>$166.48</t>
  </si>
  <si>
    <t>CA-2022-10140</t>
  </si>
  <si>
    <t>CG-7999</t>
  </si>
  <si>
    <t>Customer 14</t>
  </si>
  <si>
    <t>PROD-713</t>
  </si>
  <si>
    <t>Storage Product 23</t>
  </si>
  <si>
    <t>$74.13</t>
  </si>
  <si>
    <t>$10.07</t>
  </si>
  <si>
    <t>CA-2022-10325</t>
  </si>
  <si>
    <t>CG-6413</t>
  </si>
  <si>
    <t>Customer 44</t>
  </si>
  <si>
    <t>PROD-655</t>
  </si>
  <si>
    <t>Furnishings Product 10</t>
  </si>
  <si>
    <t>$56.11</t>
  </si>
  <si>
    <t>$4.87</t>
  </si>
  <si>
    <t>CA-2022-10112</t>
  </si>
  <si>
    <t>CG-8961</t>
  </si>
  <si>
    <t>PROD-863</t>
  </si>
  <si>
    <t>Accessories Product 18</t>
  </si>
  <si>
    <t>$239.00</t>
  </si>
  <si>
    <t>$42.12</t>
  </si>
  <si>
    <t>CA-2022-10195</t>
  </si>
  <si>
    <t>CG-2988</t>
  </si>
  <si>
    <t>PROD-830</t>
  </si>
  <si>
    <t>$90.04</t>
  </si>
  <si>
    <t>$12.60</t>
  </si>
  <si>
    <t>CA-2022-10566</t>
  </si>
  <si>
    <t>CG-6055</t>
  </si>
  <si>
    <t>Customer 77</t>
  </si>
  <si>
    <t>PROD-344</t>
  </si>
  <si>
    <t>Furnishings Product 17</t>
  </si>
  <si>
    <t>$21.08</t>
  </si>
  <si>
    <t>$2.20</t>
  </si>
  <si>
    <t>CA-2022-10409</t>
  </si>
  <si>
    <t>CG-4718</t>
  </si>
  <si>
    <t>PROD-942</t>
  </si>
  <si>
    <t>Furnishings Product 24</t>
  </si>
  <si>
    <t>$251.20</t>
  </si>
  <si>
    <t>-$31.99</t>
  </si>
  <si>
    <t>CA-2022-10342</t>
  </si>
  <si>
    <t>CG-2407</t>
  </si>
  <si>
    <t>PROD-336</t>
  </si>
  <si>
    <t>Tables Product 3</t>
  </si>
  <si>
    <t>$101.67</t>
  </si>
  <si>
    <t>-$1.20</t>
  </si>
  <si>
    <t>CA-2022-10291</t>
  </si>
  <si>
    <t>CG-9236</t>
  </si>
  <si>
    <t>Customer 134</t>
  </si>
  <si>
    <t>PROD-169</t>
  </si>
  <si>
    <t>$46.59</t>
  </si>
  <si>
    <t>$5.21</t>
  </si>
  <si>
    <t>CA-2022-10259</t>
  </si>
  <si>
    <t>CG-7781</t>
  </si>
  <si>
    <t>PROD-377</t>
  </si>
  <si>
    <t>$157.17</t>
  </si>
  <si>
    <t>$34.90</t>
  </si>
  <si>
    <t>CA-2022-10436</t>
  </si>
  <si>
    <t>CG-5541</t>
  </si>
  <si>
    <t>PROD-200</t>
  </si>
  <si>
    <t>Tables Product 29</t>
  </si>
  <si>
    <t>$108.14</t>
  </si>
  <si>
    <t>$11.29</t>
  </si>
  <si>
    <t>CA-2022-10313</t>
  </si>
  <si>
    <t>CG-1283</t>
  </si>
  <si>
    <t>PROD-286</t>
  </si>
  <si>
    <t>Binders Product 18</t>
  </si>
  <si>
    <t>$103.92</t>
  </si>
  <si>
    <t>CA-2022-10305</t>
  </si>
  <si>
    <t>CG-5284</t>
  </si>
  <si>
    <t>Customer 79</t>
  </si>
  <si>
    <t>PROD-281</t>
  </si>
  <si>
    <t>Bookcases Product 19</t>
  </si>
  <si>
    <t>$343.71</t>
  </si>
  <si>
    <t>$1.66</t>
  </si>
  <si>
    <t>CA-2022-10340</t>
  </si>
  <si>
    <t>CG-2168</t>
  </si>
  <si>
    <t>PROD-796</t>
  </si>
  <si>
    <t>Bookcases Product 30</t>
  </si>
  <si>
    <t>$132.37</t>
  </si>
  <si>
    <t>$2.63</t>
  </si>
  <si>
    <t>CA-2022-10394</t>
  </si>
  <si>
    <t>CG-7370</t>
  </si>
  <si>
    <t>$72.06</t>
  </si>
  <si>
    <t>$12.57</t>
  </si>
  <si>
    <t>CA-2022-10207</t>
  </si>
  <si>
    <t>CG-1146</t>
  </si>
  <si>
    <t>PROD-481</t>
  </si>
  <si>
    <t>Tables Product 28</t>
  </si>
  <si>
    <t>$449.84</t>
  </si>
  <si>
    <t>$21.20</t>
  </si>
  <si>
    <t>CA-2022-10119</t>
  </si>
  <si>
    <t>CG-5082</t>
  </si>
  <si>
    <t>Storage Product 22</t>
  </si>
  <si>
    <t>$58.72</t>
  </si>
  <si>
    <t>-$9.62</t>
  </si>
  <si>
    <t>CA-2022-10017</t>
  </si>
  <si>
    <t>CG-7655</t>
  </si>
  <si>
    <t>Customer 144</t>
  </si>
  <si>
    <t>PROD-982</t>
  </si>
  <si>
    <t>Tables Product 23</t>
  </si>
  <si>
    <t>$54.97</t>
  </si>
  <si>
    <t>$5.40</t>
  </si>
  <si>
    <t>CA-2022-10346</t>
  </si>
  <si>
    <t>CG-7522</t>
  </si>
  <si>
    <t>Customer 59</t>
  </si>
  <si>
    <t>PROD-202</t>
  </si>
  <si>
    <t>Labels Product 28</t>
  </si>
  <si>
    <t>$37.12</t>
  </si>
  <si>
    <t>$5.22</t>
  </si>
  <si>
    <t>CA-2022-10374</t>
  </si>
  <si>
    <t>CG-1808</t>
  </si>
  <si>
    <t>PROD-146</t>
  </si>
  <si>
    <t>Storage Product 2</t>
  </si>
  <si>
    <t>$185.87</t>
  </si>
  <si>
    <t>-$0.97</t>
  </si>
  <si>
    <t>CA-2022-10585</t>
  </si>
  <si>
    <t>CG-7793</t>
  </si>
  <si>
    <t>PROD-253</t>
  </si>
  <si>
    <t>$748.57</t>
  </si>
  <si>
    <t>$113.31</t>
  </si>
  <si>
    <t>CA-2022-10523</t>
  </si>
  <si>
    <t>CG-3354</t>
  </si>
  <si>
    <t>Customer 10</t>
  </si>
  <si>
    <t>PROD-417</t>
  </si>
  <si>
    <t>Envelopes Product 17</t>
  </si>
  <si>
    <t>$31.41</t>
  </si>
  <si>
    <t>$5.00</t>
  </si>
  <si>
    <t>CA-2022-10354</t>
  </si>
  <si>
    <t>CG-4880</t>
  </si>
  <si>
    <t>Customer 20</t>
  </si>
  <si>
    <t>Labels Product 25</t>
  </si>
  <si>
    <t>$271.58</t>
  </si>
  <si>
    <t>$29.61</t>
  </si>
  <si>
    <t>CA-2022-10317</t>
  </si>
  <si>
    <t>CG-9096</t>
  </si>
  <si>
    <t>Customer 76</t>
  </si>
  <si>
    <t>PROD-795</t>
  </si>
  <si>
    <t>$29.57</t>
  </si>
  <si>
    <t>$5.09</t>
  </si>
  <si>
    <t>CA-2022-10528</t>
  </si>
  <si>
    <t>CG-1569</t>
  </si>
  <si>
    <t>$275.31</t>
  </si>
  <si>
    <t>$20.69</t>
  </si>
  <si>
    <t>CA-2022-10215</t>
  </si>
  <si>
    <t>CG-7539</t>
  </si>
  <si>
    <t>PROD-757</t>
  </si>
  <si>
    <t>Binders Product 30</t>
  </si>
  <si>
    <t>$47.58</t>
  </si>
  <si>
    <t>$8.92</t>
  </si>
  <si>
    <t>CA-2022-10247</t>
  </si>
  <si>
    <t>CG-9901</t>
  </si>
  <si>
    <t>PROD-853</t>
  </si>
  <si>
    <t>Furnishings Product 18</t>
  </si>
  <si>
    <t>$183.93</t>
  </si>
  <si>
    <t>$13.43</t>
  </si>
  <si>
    <t>CA-2022-10089</t>
  </si>
  <si>
    <t>CG-4568</t>
  </si>
  <si>
    <t>PROD-923</t>
  </si>
  <si>
    <t>Envelopes Product 28</t>
  </si>
  <si>
    <t>$19.39</t>
  </si>
  <si>
    <t>CA-2022-10241</t>
  </si>
  <si>
    <t>CG-4672</t>
  </si>
  <si>
    <t>Customer 66</t>
  </si>
  <si>
    <t>PROD-998</t>
  </si>
  <si>
    <t>Paper Product 26</t>
  </si>
  <si>
    <t>$104.16</t>
  </si>
  <si>
    <t>$14.76</t>
  </si>
  <si>
    <t>CA-2022-10081</t>
  </si>
  <si>
    <t>CG-6791</t>
  </si>
  <si>
    <t>Customer 80</t>
  </si>
  <si>
    <t>PROD-772</t>
  </si>
  <si>
    <t>$119.05</t>
  </si>
  <si>
    <t>-$12.13</t>
  </si>
  <si>
    <t>CA-2022-10171</t>
  </si>
  <si>
    <t>CG-2673</t>
  </si>
  <si>
    <t>PROD-914</t>
  </si>
  <si>
    <t>$173.81</t>
  </si>
  <si>
    <t>$48.68</t>
  </si>
  <si>
    <t>CA-2022-10226</t>
  </si>
  <si>
    <t>CG-9954</t>
  </si>
  <si>
    <t>Phones Product 24</t>
  </si>
  <si>
    <t>$604.28</t>
  </si>
  <si>
    <t>$9.84</t>
  </si>
  <si>
    <t>CA-2022-10343</t>
  </si>
  <si>
    <t>CG-6490</t>
  </si>
  <si>
    <t>Customer 117</t>
  </si>
  <si>
    <t>PROD-300</t>
  </si>
  <si>
    <t>Bookcases Product 17</t>
  </si>
  <si>
    <t>$65.64</t>
  </si>
  <si>
    <t>$0.79</t>
  </si>
  <si>
    <t>CA-2022-10479</t>
  </si>
  <si>
    <t>CG-3837</t>
  </si>
  <si>
    <t>Customer 78</t>
  </si>
  <si>
    <t>PROD-143</t>
  </si>
  <si>
    <t>$15.71</t>
  </si>
  <si>
    <t>-$1.49</t>
  </si>
  <si>
    <t>CA-2022-10400</t>
  </si>
  <si>
    <t>CG-5841</t>
  </si>
  <si>
    <t>Customer 116</t>
  </si>
  <si>
    <t>PROD-141</t>
  </si>
  <si>
    <t>Machines Product 28</t>
  </si>
  <si>
    <t>$419.78</t>
  </si>
  <si>
    <t>-$13.68</t>
  </si>
  <si>
    <t>CA-2022-10327</t>
  </si>
  <si>
    <t>CG-7401</t>
  </si>
  <si>
    <t>Customer 18</t>
  </si>
  <si>
    <t>PROD-328</t>
  </si>
  <si>
    <t>Copiers Product 2</t>
  </si>
  <si>
    <t>$8.52</t>
  </si>
  <si>
    <t>$2.02</t>
  </si>
  <si>
    <t>CA-2022-10198</t>
  </si>
  <si>
    <t>CG-6285</t>
  </si>
  <si>
    <t>Customer 145</t>
  </si>
  <si>
    <t>PROD-894</t>
  </si>
  <si>
    <t>$77.17</t>
  </si>
  <si>
    <t>$4.44</t>
  </si>
  <si>
    <t>CA-2022-10468</t>
  </si>
  <si>
    <t>CG-2832</t>
  </si>
  <si>
    <t>PROD-147</t>
  </si>
  <si>
    <t>Tables Product 8</t>
  </si>
  <si>
    <t>$109.30</t>
  </si>
  <si>
    <t>$0.17</t>
  </si>
  <si>
    <t>CA-2022-10591</t>
  </si>
  <si>
    <t>CG-9850</t>
  </si>
  <si>
    <t>PROD-681</t>
  </si>
  <si>
    <t>Storage Product 12</t>
  </si>
  <si>
    <t>$14.19</t>
  </si>
  <si>
    <t>$2.82</t>
  </si>
  <si>
    <t>CA-2022-10049</t>
  </si>
  <si>
    <t>CG-4719</t>
  </si>
  <si>
    <t>PROD-423</t>
  </si>
  <si>
    <t>$142.76</t>
  </si>
  <si>
    <t>$17.84</t>
  </si>
  <si>
    <t>CA-2022-10186</t>
  </si>
  <si>
    <t>CG-7534</t>
  </si>
  <si>
    <t>Customer 103</t>
  </si>
  <si>
    <t>PROD-416</t>
  </si>
  <si>
    <t>$288.85</t>
  </si>
  <si>
    <t>-$3.70</t>
  </si>
  <si>
    <t>CA-2022-10069</t>
  </si>
  <si>
    <t>CG-8878</t>
  </si>
  <si>
    <t>PROD-670</t>
  </si>
  <si>
    <t>Machines Product 8</t>
  </si>
  <si>
    <t>$423.99</t>
  </si>
  <si>
    <t>-$6.20</t>
  </si>
  <si>
    <t>CA-2022-10419</t>
  </si>
  <si>
    <t>CG-4291</t>
  </si>
  <si>
    <t>Customer 141</t>
  </si>
  <si>
    <t>Bookcases Product 7</t>
  </si>
  <si>
    <t>$114.04</t>
  </si>
  <si>
    <t>$9.98</t>
  </si>
  <si>
    <t>CA-2022-10574</t>
  </si>
  <si>
    <t>CG-3160</t>
  </si>
  <si>
    <t>PROD-595</t>
  </si>
  <si>
    <t>Labels Product 6</t>
  </si>
  <si>
    <t>$77.16</t>
  </si>
  <si>
    <t>$9.56</t>
  </si>
  <si>
    <t>CA-2022-10164</t>
  </si>
  <si>
    <t>CG-8480</t>
  </si>
  <si>
    <t>PROD-436</t>
  </si>
  <si>
    <t>Accessories Product 23</t>
  </si>
  <si>
    <t>$45.91</t>
  </si>
  <si>
    <t>$4.94</t>
  </si>
  <si>
    <t>CA-2022-10202</t>
  </si>
  <si>
    <t>CG-6738</t>
  </si>
  <si>
    <t>Customer 37</t>
  </si>
  <si>
    <t>Phones Product 2</t>
  </si>
  <si>
    <t>$399.65</t>
  </si>
  <si>
    <t>$80.02</t>
  </si>
  <si>
    <t>CA-2022-10558</t>
  </si>
  <si>
    <t>CG-1107</t>
  </si>
  <si>
    <t>Customer 91</t>
  </si>
  <si>
    <t>PROD-185</t>
  </si>
  <si>
    <t>Tables Product 30</t>
  </si>
  <si>
    <t>$133.45</t>
  </si>
  <si>
    <t>-$1.83</t>
  </si>
  <si>
    <t>CA-2022-10289</t>
  </si>
  <si>
    <t>CG-3296</t>
  </si>
  <si>
    <t>Customer 38</t>
  </si>
  <si>
    <t>PROD-174</t>
  </si>
  <si>
    <t>Art Product 14</t>
  </si>
  <si>
    <t>$28.49</t>
  </si>
  <si>
    <t>$4.50</t>
  </si>
  <si>
    <t>CA-2022-10095</t>
  </si>
  <si>
    <t>CG-2177</t>
  </si>
  <si>
    <t>PROD-403</t>
  </si>
  <si>
    <t>Tables Product 5</t>
  </si>
  <si>
    <t>$151.75</t>
  </si>
  <si>
    <t>$16.00</t>
  </si>
  <si>
    <t>CA-2022-10156</t>
  </si>
  <si>
    <t>CG-9491</t>
  </si>
  <si>
    <t>PROD-935</t>
  </si>
  <si>
    <t>Machines Product 19</t>
  </si>
  <si>
    <t>$53.98</t>
  </si>
  <si>
    <t>$18.84</t>
  </si>
  <si>
    <t>CA-2022-10283</t>
  </si>
  <si>
    <t>CG-2342</t>
  </si>
  <si>
    <t>Customer 92</t>
  </si>
  <si>
    <t>PROD-155</t>
  </si>
  <si>
    <t>Accessories Product 27</t>
  </si>
  <si>
    <t>$64.26</t>
  </si>
  <si>
    <t>$12.14</t>
  </si>
  <si>
    <t>CA-2022-10516</t>
  </si>
  <si>
    <t>CG-9724</t>
  </si>
  <si>
    <t>PROD-955</t>
  </si>
  <si>
    <t>Phones Product 15</t>
  </si>
  <si>
    <t>$515.27</t>
  </si>
  <si>
    <t>-$0.58</t>
  </si>
  <si>
    <t>CA-2022-10233</t>
  </si>
  <si>
    <t>CG-1336</t>
  </si>
  <si>
    <t>PROD-372</t>
  </si>
  <si>
    <t>Chairs Product 24</t>
  </si>
  <si>
    <t>$284.41</t>
  </si>
  <si>
    <t>$8.07</t>
  </si>
  <si>
    <t>CA-2022-10239</t>
  </si>
  <si>
    <t>CG-5567</t>
  </si>
  <si>
    <t>Customer 114</t>
  </si>
  <si>
    <t>PROD-591</t>
  </si>
  <si>
    <t>Art Product 27</t>
  </si>
  <si>
    <t>$67.61</t>
  </si>
  <si>
    <t>$2.35</t>
  </si>
  <si>
    <t>CA-2022-10564</t>
  </si>
  <si>
    <t>CG-5717</t>
  </si>
  <si>
    <t>PROD-113</t>
  </si>
  <si>
    <t>Phones Product 5</t>
  </si>
  <si>
    <t>$231.35</t>
  </si>
  <si>
    <t>$59.84</t>
  </si>
  <si>
    <t>CA-2022-10288</t>
  </si>
  <si>
    <t>CG-5340</t>
  </si>
  <si>
    <t>Customer 109</t>
  </si>
  <si>
    <t>PROD-898</t>
  </si>
  <si>
    <t>Paper Product 21</t>
  </si>
  <si>
    <t>$139.30</t>
  </si>
  <si>
    <t>CA-2022-10376</t>
  </si>
  <si>
    <t>CG-1615</t>
  </si>
  <si>
    <t>Art Product 21</t>
  </si>
  <si>
    <t>$38.32</t>
  </si>
  <si>
    <t>$1.76</t>
  </si>
  <si>
    <t>CA-2022-10428</t>
  </si>
  <si>
    <t>CG-6322</t>
  </si>
  <si>
    <t>Customer 15</t>
  </si>
  <si>
    <t>PROD-727</t>
  </si>
  <si>
    <t>$137.41</t>
  </si>
  <si>
    <t>$16.49</t>
  </si>
  <si>
    <t>CA-2022-10130</t>
  </si>
  <si>
    <t>CG-8875</t>
  </si>
  <si>
    <t>PROD-426</t>
  </si>
  <si>
    <t>Paper Product 22</t>
  </si>
  <si>
    <t>$66.97</t>
  </si>
  <si>
    <t>$17.46</t>
  </si>
  <si>
    <t>CA-2022-10046</t>
  </si>
  <si>
    <t>CG-7413</t>
  </si>
  <si>
    <t>Furnishings Product 21</t>
  </si>
  <si>
    <t>$255.61</t>
  </si>
  <si>
    <t>$51.39</t>
  </si>
  <si>
    <t>CA-2022-10519</t>
  </si>
  <si>
    <t>CG-6938</t>
  </si>
  <si>
    <t>PROD-194</t>
  </si>
  <si>
    <t>Art Product 6</t>
  </si>
  <si>
    <t>$56.67</t>
  </si>
  <si>
    <t>$14.48</t>
  </si>
  <si>
    <t>CA-2022-10045</t>
  </si>
  <si>
    <t>CG-3832</t>
  </si>
  <si>
    <t>Customer 9</t>
  </si>
  <si>
    <t>PROD-649</t>
  </si>
  <si>
    <t>Furnishings Product 23</t>
  </si>
  <si>
    <t>$236.46</t>
  </si>
  <si>
    <t>$34.98</t>
  </si>
  <si>
    <t>CA-2022-10309</t>
  </si>
  <si>
    <t>CG-1534</t>
  </si>
  <si>
    <t>Customer 135</t>
  </si>
  <si>
    <t>Copiers Product 7</t>
  </si>
  <si>
    <t>$592.13</t>
  </si>
  <si>
    <t>$152.82</t>
  </si>
  <si>
    <t>CA-2022-10431</t>
  </si>
  <si>
    <t>CG-5811</t>
  </si>
  <si>
    <t>Customer 42</t>
  </si>
  <si>
    <t>PROD-515</t>
  </si>
  <si>
    <t>$290.67</t>
  </si>
  <si>
    <t>$38.72</t>
  </si>
  <si>
    <t>CA-2022-10382</t>
  </si>
  <si>
    <t>CG-6249</t>
  </si>
  <si>
    <t>PROD-123</t>
  </si>
  <si>
    <t>Chairs Product 3</t>
  </si>
  <si>
    <t>$67.82</t>
  </si>
  <si>
    <t>$9.87</t>
  </si>
  <si>
    <t>CA-2022-10404</t>
  </si>
  <si>
    <t>CG-4845</t>
  </si>
  <si>
    <t>PROD-320</t>
  </si>
  <si>
    <t>Machines Product 27</t>
  </si>
  <si>
    <t>$717.61</t>
  </si>
  <si>
    <t>-$64.32</t>
  </si>
  <si>
    <t>CA-2022-10296</t>
  </si>
  <si>
    <t>CG-6810</t>
  </si>
  <si>
    <t>PROD-831</t>
  </si>
  <si>
    <t>Machines Product 16</t>
  </si>
  <si>
    <t>$52.58</t>
  </si>
  <si>
    <t>$7.25</t>
  </si>
  <si>
    <t>CA-2022-10352</t>
  </si>
  <si>
    <t>CG-6360</t>
  </si>
  <si>
    <t>Customer 99</t>
  </si>
  <si>
    <t>PROD-869</t>
  </si>
  <si>
    <t>Storage Product 25</t>
  </si>
  <si>
    <t>$102.72</t>
  </si>
  <si>
    <t>$17.03</t>
  </si>
  <si>
    <t>CA-2022-10553</t>
  </si>
  <si>
    <t>CG-9411</t>
  </si>
  <si>
    <t>Customer 3</t>
  </si>
  <si>
    <t>PROD-663</t>
  </si>
  <si>
    <t>$66.56</t>
  </si>
  <si>
    <t>-$6.47</t>
  </si>
  <si>
    <t>CA-2022-10351</t>
  </si>
  <si>
    <t>CG-4557</t>
  </si>
  <si>
    <t>PROD-582</t>
  </si>
  <si>
    <t>Paper Product 3</t>
  </si>
  <si>
    <t>$33.87</t>
  </si>
  <si>
    <t>$4.27</t>
  </si>
  <si>
    <t>CA-2022-10521</t>
  </si>
  <si>
    <t>CG-7185</t>
  </si>
  <si>
    <t>Customer 110</t>
  </si>
  <si>
    <t>Copiers Product 19</t>
  </si>
  <si>
    <t>$312.09</t>
  </si>
  <si>
    <t>$42.47</t>
  </si>
  <si>
    <t>CA-2022-10480</t>
  </si>
  <si>
    <t>CG-6672</t>
  </si>
  <si>
    <t>PROD-981</t>
  </si>
  <si>
    <t>$8.00</t>
  </si>
  <si>
    <t>$1.83</t>
  </si>
  <si>
    <t>CA-2022-10212</t>
  </si>
  <si>
    <t>CG-7239</t>
  </si>
  <si>
    <t>PROD-334</t>
  </si>
  <si>
    <t>$64.73</t>
  </si>
  <si>
    <t>$11.19</t>
  </si>
  <si>
    <t>CA-2022-10040</t>
  </si>
  <si>
    <t>CG-2646</t>
  </si>
  <si>
    <t>PROD-607</t>
  </si>
  <si>
    <t>Bookcases Product 13</t>
  </si>
  <si>
    <t>$177.14</t>
  </si>
  <si>
    <t>$19.63</t>
  </si>
  <si>
    <t>CA-2022-10201</t>
  </si>
  <si>
    <t>CG-1690</t>
  </si>
  <si>
    <t>PROD-489</t>
  </si>
  <si>
    <t>Accessories Product 11</t>
  </si>
  <si>
    <t>$120.82</t>
  </si>
  <si>
    <t>$17.41</t>
  </si>
  <si>
    <t>CA-2022-10004</t>
  </si>
  <si>
    <t>CG-4561</t>
  </si>
  <si>
    <t>Customer 41</t>
  </si>
  <si>
    <t>PROD-234</t>
  </si>
  <si>
    <t>Art Product 9</t>
  </si>
  <si>
    <t>$94.96</t>
  </si>
  <si>
    <t>$9.97</t>
  </si>
  <si>
    <t>CA-2022-10138</t>
  </si>
  <si>
    <t>CG-1155</t>
  </si>
  <si>
    <t>Customer 47</t>
  </si>
  <si>
    <t>PROD-553</t>
  </si>
  <si>
    <t>$42.04</t>
  </si>
  <si>
    <t>$3.39</t>
  </si>
  <si>
    <t>CA-2022-10526</t>
  </si>
  <si>
    <t>CG-3939</t>
  </si>
  <si>
    <t>Chairs Product 6</t>
  </si>
  <si>
    <t>$79.85</t>
  </si>
  <si>
    <t>$3.93</t>
  </si>
  <si>
    <t>CA-2022-10420</t>
  </si>
  <si>
    <t>CG-1028</t>
  </si>
  <si>
    <t>Customer 16</t>
  </si>
  <si>
    <t>PROD-688</t>
  </si>
  <si>
    <t>Bookcases Product 5</t>
  </si>
  <si>
    <t>$287.23</t>
  </si>
  <si>
    <t>-$68.94</t>
  </si>
  <si>
    <t>CA-2022-10490</t>
  </si>
  <si>
    <t>CG-4244</t>
  </si>
  <si>
    <t>Customer 17</t>
  </si>
  <si>
    <t>PROD-325</t>
  </si>
  <si>
    <t>Binders Product 14</t>
  </si>
  <si>
    <t>$26.47</t>
  </si>
  <si>
    <t>-$0.69</t>
  </si>
  <si>
    <t>CA-2022-10375</t>
  </si>
  <si>
    <t>CG-8734</t>
  </si>
  <si>
    <t>Customer 67</t>
  </si>
  <si>
    <t>PROD-614</t>
  </si>
  <si>
    <t>$55.27</t>
  </si>
  <si>
    <t>$4.21</t>
  </si>
  <si>
    <t>CA-2022-10447</t>
  </si>
  <si>
    <t>CG-8631</t>
  </si>
  <si>
    <t>PROD-660</t>
  </si>
  <si>
    <t>Chairs Product 19</t>
  </si>
  <si>
    <t>$190.78</t>
  </si>
  <si>
    <t>-$15.08</t>
  </si>
  <si>
    <t>CA-2022-10383</t>
  </si>
  <si>
    <t>CG-4735</t>
  </si>
  <si>
    <t>PROD-642</t>
  </si>
  <si>
    <t>$130.65</t>
  </si>
  <si>
    <t>$16.66</t>
  </si>
  <si>
    <t>CA-2022-10594</t>
  </si>
  <si>
    <t>CG-2945</t>
  </si>
  <si>
    <t>PROD-490</t>
  </si>
  <si>
    <t>$288.71</t>
  </si>
  <si>
    <t>$39.93</t>
  </si>
  <si>
    <t>CA-2022-10177</t>
  </si>
  <si>
    <t>CG-7353</t>
  </si>
  <si>
    <t>PROD-401</t>
  </si>
  <si>
    <t>Envelopes Product 13</t>
  </si>
  <si>
    <t>$87.92</t>
  </si>
  <si>
    <t>CA-2022-10146</t>
  </si>
  <si>
    <t>CG-1340</t>
  </si>
  <si>
    <t>Customer 62</t>
  </si>
  <si>
    <t>PROD-462</t>
  </si>
  <si>
    <t>$53.41</t>
  </si>
  <si>
    <t>$6.33</t>
  </si>
  <si>
    <t>CA-2022-10208</t>
  </si>
  <si>
    <t>CG-5188</t>
  </si>
  <si>
    <t>Customer 48</t>
  </si>
  <si>
    <t>Phones Product 29</t>
  </si>
  <si>
    <t>$127.02</t>
  </si>
  <si>
    <t>$35.65</t>
  </si>
  <si>
    <t>CA-2022-10474</t>
  </si>
  <si>
    <t>CG-6969</t>
  </si>
  <si>
    <t>Customer 61</t>
  </si>
  <si>
    <t>PROD-302</t>
  </si>
  <si>
    <t>Binders Product 1</t>
  </si>
  <si>
    <t>$110.72</t>
  </si>
  <si>
    <t>$16.31</t>
  </si>
  <si>
    <t>CA-2023-10331</t>
  </si>
  <si>
    <t>CG-4734</t>
  </si>
  <si>
    <t>$52.50</t>
  </si>
  <si>
    <t>$11.11</t>
  </si>
  <si>
    <t>CA-2023-10506</t>
  </si>
  <si>
    <t>CG-8313</t>
  </si>
  <si>
    <t>Customer 111</t>
  </si>
  <si>
    <t>PROD-929</t>
  </si>
  <si>
    <t>$311.05</t>
  </si>
  <si>
    <t>$62.89</t>
  </si>
  <si>
    <t>CA-2023-10571</t>
  </si>
  <si>
    <t>CG-8919</t>
  </si>
  <si>
    <t>Customer 89</t>
  </si>
  <si>
    <t>PROD-392</t>
  </si>
  <si>
    <t>Art Product 25</t>
  </si>
  <si>
    <t>$79.17</t>
  </si>
  <si>
    <t>$6.11</t>
  </si>
  <si>
    <t>CA-2023-10193</t>
  </si>
  <si>
    <t>CG-2424</t>
  </si>
  <si>
    <t>PROD-616</t>
  </si>
  <si>
    <t>Machines Product 25</t>
  </si>
  <si>
    <t>$430.87</t>
  </si>
  <si>
    <t>$61.91</t>
  </si>
  <si>
    <t>CA-2023-10294</t>
  </si>
  <si>
    <t>CG-1734</t>
  </si>
  <si>
    <t>PROD-533</t>
  </si>
  <si>
    <t>$224.56</t>
  </si>
  <si>
    <t>-$23.93</t>
  </si>
  <si>
    <t>CA-2023-10451</t>
  </si>
  <si>
    <t>PROD-308</t>
  </si>
  <si>
    <t>Machines Product 6</t>
  </si>
  <si>
    <t>$585.54</t>
  </si>
  <si>
    <t>-$5.53</t>
  </si>
  <si>
    <t>CA-2023-10326</t>
  </si>
  <si>
    <t>CG-9119</t>
  </si>
  <si>
    <t>PROD-451</t>
  </si>
  <si>
    <t>Copiers Product 12</t>
  </si>
  <si>
    <t>$111.61</t>
  </si>
  <si>
    <t>$12.41</t>
  </si>
  <si>
    <t>CA-2023-10401</t>
  </si>
  <si>
    <t>CG-5782</t>
  </si>
  <si>
    <t>$420.74</t>
  </si>
  <si>
    <t>$122.78</t>
  </si>
  <si>
    <t>CA-2023-10547</t>
  </si>
  <si>
    <t>CG-7676</t>
  </si>
  <si>
    <t>Bookcases Product 21</t>
  </si>
  <si>
    <t>$81.01</t>
  </si>
  <si>
    <t>$6.19</t>
  </si>
  <si>
    <t>CA-2023-10249</t>
  </si>
  <si>
    <t>CG-9378</t>
  </si>
  <si>
    <t>PROD-487</t>
  </si>
  <si>
    <t>Machines Product 13</t>
  </si>
  <si>
    <t>$25.09</t>
  </si>
  <si>
    <t>$5.04</t>
  </si>
  <si>
    <t>CA-2023-10535</t>
  </si>
  <si>
    <t>CG-8565</t>
  </si>
  <si>
    <t>PROD-789</t>
  </si>
  <si>
    <t>Envelopes Product 29</t>
  </si>
  <si>
    <t>$115.71</t>
  </si>
  <si>
    <t>$11.67</t>
  </si>
  <si>
    <t>CA-2023-10147</t>
  </si>
  <si>
    <t>CG-6002</t>
  </si>
  <si>
    <t>PROD-657</t>
  </si>
  <si>
    <t>$80.88</t>
  </si>
  <si>
    <t>$11.47</t>
  </si>
  <si>
    <t>CA-2023-10443</t>
  </si>
  <si>
    <t>CG-3465</t>
  </si>
  <si>
    <t>PROD-925</t>
  </si>
  <si>
    <t>$243.10</t>
  </si>
  <si>
    <t>$67.08</t>
  </si>
  <si>
    <t>CA-2023-10187</t>
  </si>
  <si>
    <t>CG-8352</t>
  </si>
  <si>
    <t>PROD-478</t>
  </si>
  <si>
    <t>$96.82</t>
  </si>
  <si>
    <t>-$4.20</t>
  </si>
  <si>
    <t>CA-2023-10388</t>
  </si>
  <si>
    <t>CG-4243</t>
  </si>
  <si>
    <t>PROD-483</t>
  </si>
  <si>
    <t>Envelopes Product 18</t>
  </si>
  <si>
    <t>$101.60</t>
  </si>
  <si>
    <t>$13.64</t>
  </si>
  <si>
    <t>CA-2023-10301</t>
  </si>
  <si>
    <t>CG-8265</t>
  </si>
  <si>
    <t>PROD-576</t>
  </si>
  <si>
    <t>$205.06</t>
  </si>
  <si>
    <t>$15.23</t>
  </si>
  <si>
    <t>CA-2023-10135</t>
  </si>
  <si>
    <t>CG-6248</t>
  </si>
  <si>
    <t>Customer 63</t>
  </si>
  <si>
    <t>PROD-986</t>
  </si>
  <si>
    <t>$307.76</t>
  </si>
  <si>
    <t>CA-2023-10217</t>
  </si>
  <si>
    <t>CG-9799</t>
  </si>
  <si>
    <t>PROD-219</t>
  </si>
  <si>
    <t>Furnishings Product 14</t>
  </si>
  <si>
    <t>$47.07</t>
  </si>
  <si>
    <t>$0.34</t>
  </si>
  <si>
    <t>CA-2023-10570</t>
  </si>
  <si>
    <t>CG-8820</t>
  </si>
  <si>
    <t>Art Product 18</t>
  </si>
  <si>
    <t>$60.38</t>
  </si>
  <si>
    <t>$0.11</t>
  </si>
  <si>
    <t>CA-2023-10546</t>
  </si>
  <si>
    <t>CG-5746</t>
  </si>
  <si>
    <t>PROD-138</t>
  </si>
  <si>
    <t>Envelopes Product 5</t>
  </si>
  <si>
    <t>$107.47</t>
  </si>
  <si>
    <t>-$9.34</t>
  </si>
  <si>
    <t>CA-2023-10355</t>
  </si>
  <si>
    <t>CG-9240</t>
  </si>
  <si>
    <t>PROD-725</t>
  </si>
  <si>
    <t>Envelopes Product 15</t>
  </si>
  <si>
    <t>$59.24</t>
  </si>
  <si>
    <t>$17.27</t>
  </si>
  <si>
    <t>CA-2023-10026</t>
  </si>
  <si>
    <t>CG-6588</t>
  </si>
  <si>
    <t>PROD-243</t>
  </si>
  <si>
    <t>$284.18</t>
  </si>
  <si>
    <t>$43.79</t>
  </si>
  <si>
    <t>CA-2023-10509</t>
  </si>
  <si>
    <t>CG-2494</t>
  </si>
  <si>
    <t>PROD-987</t>
  </si>
  <si>
    <t>$197.81</t>
  </si>
  <si>
    <t>$9.35</t>
  </si>
  <si>
    <t>CA-2023-10367</t>
  </si>
  <si>
    <t>CG-2667</t>
  </si>
  <si>
    <t>PROD-728</t>
  </si>
  <si>
    <t>Phones Product 4</t>
  </si>
  <si>
    <t>$410.48</t>
  </si>
  <si>
    <t>$98.96</t>
  </si>
  <si>
    <t>CA-2023-10584</t>
  </si>
  <si>
    <t>CG-5395</t>
  </si>
  <si>
    <t>PROD-747</t>
  </si>
  <si>
    <t>Chairs Product 23</t>
  </si>
  <si>
    <t>$196.21</t>
  </si>
  <si>
    <t>$43.34</t>
  </si>
  <si>
    <t>CA-2023-10014</t>
  </si>
  <si>
    <t>CG-8022</t>
  </si>
  <si>
    <t>PROD-758</t>
  </si>
  <si>
    <t>Bookcases Product 4</t>
  </si>
  <si>
    <t>$111.82</t>
  </si>
  <si>
    <t>$11.30</t>
  </si>
  <si>
    <t>CA-2023-10168</t>
  </si>
  <si>
    <t>CG-9043</t>
  </si>
  <si>
    <t>PROD-705</t>
  </si>
  <si>
    <t>$127.97</t>
  </si>
  <si>
    <t>$11.98</t>
  </si>
  <si>
    <t>CA-2023-10036</t>
  </si>
  <si>
    <t>CG-8002</t>
  </si>
  <si>
    <t>PROD-580</t>
  </si>
  <si>
    <t>Labels Product 24</t>
  </si>
  <si>
    <t>$66.35</t>
  </si>
  <si>
    <t>CA-2023-10414</t>
  </si>
  <si>
    <t>CG-3803</t>
  </si>
  <si>
    <t>PROD-493</t>
  </si>
  <si>
    <t>$160.68</t>
  </si>
  <si>
    <t>$33.47</t>
  </si>
  <si>
    <t>CA-2023-10339</t>
  </si>
  <si>
    <t>CG-7468</t>
  </si>
  <si>
    <t>Customer 55</t>
  </si>
  <si>
    <t>Furnishings Product 9</t>
  </si>
  <si>
    <t>$284.25</t>
  </si>
  <si>
    <t>$44.97</t>
  </si>
  <si>
    <t>CA-2023-10034</t>
  </si>
  <si>
    <t>CG-8245</t>
  </si>
  <si>
    <t>PROD-150</t>
  </si>
  <si>
    <t>Labels Product 13</t>
  </si>
  <si>
    <t>$141.55</t>
  </si>
  <si>
    <t>-$12.07</t>
  </si>
  <si>
    <t>CA-2023-10593</t>
  </si>
  <si>
    <t>CG-9733</t>
  </si>
  <si>
    <t>PROD-311</t>
  </si>
  <si>
    <t>$47.50</t>
  </si>
  <si>
    <t>$1.99</t>
  </si>
  <si>
    <t>CA-2023-10223</t>
  </si>
  <si>
    <t>CG-3690</t>
  </si>
  <si>
    <t>Customer 90</t>
  </si>
  <si>
    <t>PROD-112</t>
  </si>
  <si>
    <t>$113.89</t>
  </si>
  <si>
    <t>$20.30</t>
  </si>
  <si>
    <t>CA-2023-10115</t>
  </si>
  <si>
    <t>CG-9964</t>
  </si>
  <si>
    <t>Customer 94</t>
  </si>
  <si>
    <t>PROD-419</t>
  </si>
  <si>
    <t>Phones Product 10</t>
  </si>
  <si>
    <t>$481.71</t>
  </si>
  <si>
    <t>$91.74</t>
  </si>
  <si>
    <t>CA-2023-10512</t>
  </si>
  <si>
    <t>CG-8630</t>
  </si>
  <si>
    <t>Machines Product 3</t>
  </si>
  <si>
    <t>$73.98</t>
  </si>
  <si>
    <t>$22.01</t>
  </si>
  <si>
    <t>CA-2023-10262</t>
  </si>
  <si>
    <t>CG-5873</t>
  </si>
  <si>
    <t>PROD-460</t>
  </si>
  <si>
    <t>$34.58</t>
  </si>
  <si>
    <t>-$1.22</t>
  </si>
  <si>
    <t>CA-2023-10175</t>
  </si>
  <si>
    <t>CG-8659</t>
  </si>
  <si>
    <t>PROD-125</t>
  </si>
  <si>
    <t>$36.46</t>
  </si>
  <si>
    <t>$1.67</t>
  </si>
  <si>
    <t>CA-2023-10534</t>
  </si>
  <si>
    <t>CG-1574</t>
  </si>
  <si>
    <t>PROD-586</t>
  </si>
  <si>
    <t>$13.90</t>
  </si>
  <si>
    <t>$1.82</t>
  </si>
  <si>
    <t>CA-2023-10210</t>
  </si>
  <si>
    <t>CG-1717</t>
  </si>
  <si>
    <t>Customer 83</t>
  </si>
  <si>
    <t>PROD-528</t>
  </si>
  <si>
    <t>$190.92</t>
  </si>
  <si>
    <t>$17.53</t>
  </si>
  <si>
    <t>CA-2023-10024</t>
  </si>
  <si>
    <t>CG-3786</t>
  </si>
  <si>
    <t>PROD-647</t>
  </si>
  <si>
    <t>$176.33</t>
  </si>
  <si>
    <t>$16.72</t>
  </si>
  <si>
    <t>CA-2023-10287</t>
  </si>
  <si>
    <t>CG-6708</t>
  </si>
  <si>
    <t>PROD-562</t>
  </si>
  <si>
    <t>Bookcases Product 1</t>
  </si>
  <si>
    <t>$366.89</t>
  </si>
  <si>
    <t>$3.63</t>
  </si>
  <si>
    <t>CA-2023-10120</t>
  </si>
  <si>
    <t>CG-7272</t>
  </si>
  <si>
    <t>Customer 108</t>
  </si>
  <si>
    <t>PROD-548</t>
  </si>
  <si>
    <t>Envelopes Product 4</t>
  </si>
  <si>
    <t>$146.26</t>
  </si>
  <si>
    <t>$19.42</t>
  </si>
  <si>
    <t>CA-2023-10345</t>
  </si>
  <si>
    <t>CG-9720</t>
  </si>
  <si>
    <t>Customer 30</t>
  </si>
  <si>
    <t>Tables Product 1</t>
  </si>
  <si>
    <t>$102.91</t>
  </si>
  <si>
    <t>$11.52</t>
  </si>
  <si>
    <t>CA-2023-10487</t>
  </si>
  <si>
    <t>CG-6152</t>
  </si>
  <si>
    <t>PROD-617</t>
  </si>
  <si>
    <t>Machines Product 9</t>
  </si>
  <si>
    <t>$202.92</t>
  </si>
  <si>
    <t>$25.29</t>
  </si>
  <si>
    <t>CA-2023-10469</t>
  </si>
  <si>
    <t>CG-5515</t>
  </si>
  <si>
    <t>PROD-943</t>
  </si>
  <si>
    <t>$0.98</t>
  </si>
  <si>
    <t>CA-2023-10454</t>
  </si>
  <si>
    <t>CG-2306</t>
  </si>
  <si>
    <t>Customer 74</t>
  </si>
  <si>
    <t>PROD-826</t>
  </si>
  <si>
    <t>Chairs Product 17</t>
  </si>
  <si>
    <t>$101.10</t>
  </si>
  <si>
    <t>-$5.27</t>
  </si>
  <si>
    <t>CA-2023-10369</t>
  </si>
  <si>
    <t>CG-7622</t>
  </si>
  <si>
    <t>PROD-613</t>
  </si>
  <si>
    <t>Labels Product 20</t>
  </si>
  <si>
    <t>$92.46</t>
  </si>
  <si>
    <t>$6.55</t>
  </si>
  <si>
    <t>CA-2023-10132</t>
  </si>
  <si>
    <t>CG-2749</t>
  </si>
  <si>
    <t>PROD-881</t>
  </si>
  <si>
    <t>Bookcases Product 27</t>
  </si>
  <si>
    <t>$147.30</t>
  </si>
  <si>
    <t>-$16.95</t>
  </si>
  <si>
    <t>CA-2023-10189</t>
  </si>
  <si>
    <t>CG-2914</t>
  </si>
  <si>
    <t>PROD-477</t>
  </si>
  <si>
    <t>Accessories Product 7</t>
  </si>
  <si>
    <t>$241.37</t>
  </si>
  <si>
    <t>$30.54</t>
  </si>
  <si>
    <t>CA-2023-10060</t>
  </si>
  <si>
    <t>CG-2622</t>
  </si>
  <si>
    <t>PROD-441</t>
  </si>
  <si>
    <t>$31.31</t>
  </si>
  <si>
    <t>$2.73</t>
  </si>
  <si>
    <t>CA-2023-10417</t>
  </si>
  <si>
    <t>CG-5647</t>
  </si>
  <si>
    <t>PROD-693</t>
  </si>
  <si>
    <t>Machines Product 21</t>
  </si>
  <si>
    <t>$108.58</t>
  </si>
  <si>
    <t>-$5.58</t>
  </si>
  <si>
    <t>CA-2023-10300</t>
  </si>
  <si>
    <t>CG-5657</t>
  </si>
  <si>
    <t>Customer 36</t>
  </si>
  <si>
    <t>PROD-875</t>
  </si>
  <si>
    <t>Binders Product 15</t>
  </si>
  <si>
    <t>$118.57</t>
  </si>
  <si>
    <t>$18.97</t>
  </si>
  <si>
    <t>CA-2023-10426</t>
  </si>
  <si>
    <t>CG-5416</t>
  </si>
  <si>
    <t>PROD-972</t>
  </si>
  <si>
    <t>Paper Product 24</t>
  </si>
  <si>
    <t>$73.21</t>
  </si>
  <si>
    <t>$15.98</t>
  </si>
  <si>
    <t>CA-2023-10180</t>
  </si>
  <si>
    <t>CG-9277</t>
  </si>
  <si>
    <t>$356.48</t>
  </si>
  <si>
    <t>$65.69</t>
  </si>
  <si>
    <t>CA-2023-10381</t>
  </si>
  <si>
    <t>CG-8610</t>
  </si>
  <si>
    <t>Customer 70</t>
  </si>
  <si>
    <t>Binders Product 17</t>
  </si>
  <si>
    <t>$97.56</t>
  </si>
  <si>
    <t>$0.66</t>
  </si>
  <si>
    <t>CA-2023-10482</t>
  </si>
  <si>
    <t>CG-7343</t>
  </si>
  <si>
    <t>PROD-784</t>
  </si>
  <si>
    <t>$200.24</t>
  </si>
  <si>
    <t>$36.01</t>
  </si>
  <si>
    <t>CA-2023-10499</t>
  </si>
  <si>
    <t>CG-9988</t>
  </si>
  <si>
    <t>PROD-861</t>
  </si>
  <si>
    <t>Binders Product 3</t>
  </si>
  <si>
    <t>$78.54</t>
  </si>
  <si>
    <t>-$3.51</t>
  </si>
  <si>
    <t>CA-2023-10362</t>
  </si>
  <si>
    <t>CG-1604</t>
  </si>
  <si>
    <t>Envelopes Product 26</t>
  </si>
  <si>
    <t>$96.62</t>
  </si>
  <si>
    <t>$19.87</t>
  </si>
  <si>
    <t>CA-2023-10276</t>
  </si>
  <si>
    <t>CG-5516</t>
  </si>
  <si>
    <t>Storage Product 14</t>
  </si>
  <si>
    <t>$34.45</t>
  </si>
  <si>
    <t>$9.05</t>
  </si>
  <si>
    <t>CA-2023-10577</t>
  </si>
  <si>
    <t>CG-6688</t>
  </si>
  <si>
    <t>$261.23</t>
  </si>
  <si>
    <t>$37.36</t>
  </si>
  <si>
    <t>CA-2023-10001</t>
  </si>
  <si>
    <t>CG-4556</t>
  </si>
  <si>
    <t>PROD-120</t>
  </si>
  <si>
    <t>Binders Product 9</t>
  </si>
  <si>
    <t>$74.24</t>
  </si>
  <si>
    <t>$4.49</t>
  </si>
  <si>
    <t>CA-2023-10561</t>
  </si>
  <si>
    <t>CG-9823</t>
  </si>
  <si>
    <t>PROD-658</t>
  </si>
  <si>
    <t>Phones Product 30</t>
  </si>
  <si>
    <t>$115.40</t>
  </si>
  <si>
    <t>-$0.79</t>
  </si>
  <si>
    <t>CA-2023-10411</t>
  </si>
  <si>
    <t>CG-1667</t>
  </si>
  <si>
    <t>PROD-470</t>
  </si>
  <si>
    <t>$115.93</t>
  </si>
  <si>
    <t>$11.07</t>
  </si>
  <si>
    <t>CA-2023-10481</t>
  </si>
  <si>
    <t>CG-7452</t>
  </si>
  <si>
    <t>PROD-212</t>
  </si>
  <si>
    <t>$205.77</t>
  </si>
  <si>
    <t>-$7.03</t>
  </si>
  <si>
    <t>CA-2023-10500</t>
  </si>
  <si>
    <t>CG-1768</t>
  </si>
  <si>
    <t>Customer 123</t>
  </si>
  <si>
    <t>$216.01</t>
  </si>
  <si>
    <t>$43.90</t>
  </si>
  <si>
    <t>CA-2023-10206</t>
  </si>
  <si>
    <t>CG-5757</t>
  </si>
  <si>
    <t>PROD-820</t>
  </si>
  <si>
    <t>Envelopes Product 30</t>
  </si>
  <si>
    <t>$125.94</t>
  </si>
  <si>
    <t>$25.51</t>
  </si>
  <si>
    <t>CA-2023-10323</t>
  </si>
  <si>
    <t>CG-4840</t>
  </si>
  <si>
    <t>PROD-184</t>
  </si>
  <si>
    <t>Accessories Product 22</t>
  </si>
  <si>
    <t>$34.43</t>
  </si>
  <si>
    <t>$9.68</t>
  </si>
  <si>
    <t>CA-2023-10567</t>
  </si>
  <si>
    <t>PROD-491</t>
  </si>
  <si>
    <t>$464.46</t>
  </si>
  <si>
    <t>-$68.08</t>
  </si>
  <si>
    <t>CA-2023-10341</t>
  </si>
  <si>
    <t>CG-1261</t>
  </si>
  <si>
    <t>PROD-170</t>
  </si>
  <si>
    <t>Storage Product 26</t>
  </si>
  <si>
    <t>$66.57</t>
  </si>
  <si>
    <t>-$0.33</t>
  </si>
  <si>
    <t>CA-2023-10144</t>
  </si>
  <si>
    <t>CG-8986</t>
  </si>
  <si>
    <t>PROD-768</t>
  </si>
  <si>
    <t>$326.43</t>
  </si>
  <si>
    <t>$9.41</t>
  </si>
  <si>
    <t>CA-2023-10108</t>
  </si>
  <si>
    <t>CG-3719</t>
  </si>
  <si>
    <t>Customer 93</t>
  </si>
  <si>
    <t>Art Product 2</t>
  </si>
  <si>
    <t>$66.21</t>
  </si>
  <si>
    <t>-$5.22</t>
  </si>
  <si>
    <t>CA-2023-10157</t>
  </si>
  <si>
    <t>CG-3567</t>
  </si>
  <si>
    <t>PROD-756</t>
  </si>
  <si>
    <t>$67.23</t>
  </si>
  <si>
    <t>$5.87</t>
  </si>
  <si>
    <t>CA-2023-10214</t>
  </si>
  <si>
    <t>CG-1489</t>
  </si>
  <si>
    <t>Machines Product 10</t>
  </si>
  <si>
    <t>$375.97</t>
  </si>
  <si>
    <t>$68.09</t>
  </si>
  <si>
    <t>CA-2023-10232</t>
  </si>
  <si>
    <t>$239.87</t>
  </si>
  <si>
    <t>-$11.87</t>
  </si>
  <si>
    <t>CA-2023-10319</t>
  </si>
  <si>
    <t>CG-3506</t>
  </si>
  <si>
    <t>PROD-719</t>
  </si>
  <si>
    <t>$8.77</t>
  </si>
  <si>
    <t>CA-2023-10485</t>
  </si>
  <si>
    <t>CG-1632</t>
  </si>
  <si>
    <t>Accessories Product 26</t>
  </si>
  <si>
    <t>$222.40</t>
  </si>
  <si>
    <t>$60.04</t>
  </si>
  <si>
    <t>CA-2023-10377</t>
  </si>
  <si>
    <t>CG-7870</t>
  </si>
  <si>
    <t>Customer 40</t>
  </si>
  <si>
    <t>$51.80</t>
  </si>
  <si>
    <t>$5.94</t>
  </si>
  <si>
    <t>CA-2023-10505</t>
  </si>
  <si>
    <t>CG-4367</t>
  </si>
  <si>
    <t>PROD-805</t>
  </si>
  <si>
    <t>$48.26</t>
  </si>
  <si>
    <t>-$1.77</t>
  </si>
  <si>
    <t>CA-2023-10360</t>
  </si>
  <si>
    <t>CG-6820</t>
  </si>
  <si>
    <t>PROD-354</t>
  </si>
  <si>
    <t>Tables Product 12</t>
  </si>
  <si>
    <t>$269.85</t>
  </si>
  <si>
    <t>$12.61</t>
  </si>
  <si>
    <t>CA-2023-10079</t>
  </si>
  <si>
    <t>CG-5473</t>
  </si>
  <si>
    <t>Chairs Product 15</t>
  </si>
  <si>
    <t>$210.10</t>
  </si>
  <si>
    <t>$38.31</t>
  </si>
  <si>
    <t>CA-2023-10094</t>
  </si>
  <si>
    <t>CG-8232</t>
  </si>
  <si>
    <t>PROD-927</t>
  </si>
  <si>
    <t>Accessories Product 29</t>
  </si>
  <si>
    <t>$194.95</t>
  </si>
  <si>
    <t>$36.19</t>
  </si>
  <si>
    <t>CA-2023-10418</t>
  </si>
  <si>
    <t>CG-3870</t>
  </si>
  <si>
    <t>PROD-775</t>
  </si>
  <si>
    <t>$156.74</t>
  </si>
  <si>
    <t>$12.18</t>
  </si>
  <si>
    <t>CA-2023-10311</t>
  </si>
  <si>
    <t>CG-8996</t>
  </si>
  <si>
    <t>PROD-708</t>
  </si>
  <si>
    <t>$46.61</t>
  </si>
  <si>
    <t>-$4.69</t>
  </si>
  <si>
    <t>CA-2023-10032</t>
  </si>
  <si>
    <t>CG-1009</t>
  </si>
  <si>
    <t>Customer 56</t>
  </si>
  <si>
    <t>PROD-341</t>
  </si>
  <si>
    <t>$41.28</t>
  </si>
  <si>
    <t>$0.86</t>
  </si>
  <si>
    <t>CA-2023-10363</t>
  </si>
  <si>
    <t>CG-5698</t>
  </si>
  <si>
    <t>PROD-916</t>
  </si>
  <si>
    <t>Chairs Product 11</t>
  </si>
  <si>
    <t>$353.66</t>
  </si>
  <si>
    <t>$26.48</t>
  </si>
  <si>
    <t>CA-2023-10350</t>
  </si>
  <si>
    <t>CG-7658</t>
  </si>
  <si>
    <t>PROD-678</t>
  </si>
  <si>
    <t>$195.27</t>
  </si>
  <si>
    <t>-$24.88</t>
  </si>
  <si>
    <t>CA-2023-10188</t>
  </si>
  <si>
    <t>CG-4551</t>
  </si>
  <si>
    <t>PROD-884</t>
  </si>
  <si>
    <t>$28.63</t>
  </si>
  <si>
    <t>$2.33</t>
  </si>
  <si>
    <t>CA-2023-10044</t>
  </si>
  <si>
    <t>CG-5208</t>
  </si>
  <si>
    <t>Customer 140</t>
  </si>
  <si>
    <t>$100.79</t>
  </si>
  <si>
    <t>-$13.20</t>
  </si>
  <si>
    <t>CA-2023-10264</t>
  </si>
  <si>
    <t>CG-1279</t>
  </si>
  <si>
    <t>PROD-945</t>
  </si>
  <si>
    <t>$182.47</t>
  </si>
  <si>
    <t>-$15.87</t>
  </si>
  <si>
    <t>CA-2023-10384</t>
  </si>
  <si>
    <t>CG-4071</t>
  </si>
  <si>
    <t>$308.13</t>
  </si>
  <si>
    <t>-$4.32</t>
  </si>
  <si>
    <t>CA-2023-10371</t>
  </si>
  <si>
    <t>CG-3509</t>
  </si>
  <si>
    <t>Customer 143</t>
  </si>
  <si>
    <t>PROD-731</t>
  </si>
  <si>
    <t>$370.61</t>
  </si>
  <si>
    <t>$81.71</t>
  </si>
  <si>
    <t>CA-2023-10365</t>
  </si>
  <si>
    <t>CG-7966</t>
  </si>
  <si>
    <t>$210.93</t>
  </si>
  <si>
    <t>$19.17</t>
  </si>
  <si>
    <t>CA-2023-10176</t>
  </si>
  <si>
    <t>CG-3606</t>
  </si>
  <si>
    <t>PROD-104</t>
  </si>
  <si>
    <t>Copiers Product 20</t>
  </si>
  <si>
    <t>$132.17</t>
  </si>
  <si>
    <t>$22.40</t>
  </si>
  <si>
    <t>CA-2023-10190</t>
  </si>
  <si>
    <t>CG-3230</t>
  </si>
  <si>
    <t>$112.29</t>
  </si>
  <si>
    <t>$24.50</t>
  </si>
  <si>
    <t>CA-2023-10101</t>
  </si>
  <si>
    <t>CG-3349</t>
  </si>
  <si>
    <t>$627.27</t>
  </si>
  <si>
    <t>$122.37</t>
  </si>
  <si>
    <t>CA-2023-10344</t>
  </si>
  <si>
    <t>CG-6585</t>
  </si>
  <si>
    <t>PROD-862</t>
  </si>
  <si>
    <t>Envelopes Product 7</t>
  </si>
  <si>
    <t>$52.46</t>
  </si>
  <si>
    <t>$13.17</t>
  </si>
  <si>
    <t>CA-2023-10013</t>
  </si>
  <si>
    <t>CG-5911</t>
  </si>
  <si>
    <t>PROD-995</t>
  </si>
  <si>
    <t>Furnishings Product 8</t>
  </si>
  <si>
    <t>$127.04</t>
  </si>
  <si>
    <t>$18.71</t>
  </si>
  <si>
    <t>CA-2023-10536</t>
  </si>
  <si>
    <t>CG-3962</t>
  </si>
  <si>
    <t>PROD-256</t>
  </si>
  <si>
    <t>Paper Product 6</t>
  </si>
  <si>
    <t>$91.16</t>
  </si>
  <si>
    <t>CA-2023-10357</t>
  </si>
  <si>
    <t>CG-1564</t>
  </si>
  <si>
    <t>PROD-570</t>
  </si>
  <si>
    <t>$207.08</t>
  </si>
  <si>
    <t>$32.65</t>
  </si>
  <si>
    <t>CA-2023-10043</t>
  </si>
  <si>
    <t>CG-9195</t>
  </si>
  <si>
    <t>PROD-980</t>
  </si>
  <si>
    <t>$149.00</t>
  </si>
  <si>
    <t>-$31.40</t>
  </si>
  <si>
    <t>CA-2023-10488</t>
  </si>
  <si>
    <t>CG-8028</t>
  </si>
  <si>
    <t>Customer 95</t>
  </si>
  <si>
    <t>PROD-722</t>
  </si>
  <si>
    <t>Phones Product 18</t>
  </si>
  <si>
    <t>$370.18</t>
  </si>
  <si>
    <t>$77.05</t>
  </si>
  <si>
    <t>CA-2023-10225</t>
  </si>
  <si>
    <t>CG-8431</t>
  </si>
  <si>
    <t>PROD-833</t>
  </si>
  <si>
    <t>Copiers Product 14</t>
  </si>
  <si>
    <t>$116.17</t>
  </si>
  <si>
    <t>$29.80</t>
  </si>
  <si>
    <t>CA-2023-10597</t>
  </si>
  <si>
    <t>CG-4925</t>
  </si>
  <si>
    <t>Tables Product 18</t>
  </si>
  <si>
    <t>$131.07</t>
  </si>
  <si>
    <t>-$2.00</t>
  </si>
  <si>
    <t>CA-2023-10169</t>
  </si>
  <si>
    <t>CG-6355</t>
  </si>
  <si>
    <t>PROD-554</t>
  </si>
  <si>
    <t>Paper Product 9</t>
  </si>
  <si>
    <t>$66.40</t>
  </si>
  <si>
    <t>CA-2023-10529</t>
  </si>
  <si>
    <t>CG-8236</t>
  </si>
  <si>
    <t>PROD-885</t>
  </si>
  <si>
    <t>$26.65</t>
  </si>
  <si>
    <t>$3.17</t>
  </si>
  <si>
    <t>CA-2023-10453</t>
  </si>
  <si>
    <t>CG-9808</t>
  </si>
  <si>
    <t>PROD-620</t>
  </si>
  <si>
    <t>$125.73</t>
  </si>
  <si>
    <t>$20.51</t>
  </si>
  <si>
    <t>CA-2023-10554</t>
  </si>
  <si>
    <t>CG-9846</t>
  </si>
  <si>
    <t>$45.72</t>
  </si>
  <si>
    <t>-$1.66</t>
  </si>
  <si>
    <t>CA-2023-10573</t>
  </si>
  <si>
    <t>CG-4535</t>
  </si>
  <si>
    <t>PROD-965</t>
  </si>
  <si>
    <t>Storage Product 7</t>
  </si>
  <si>
    <t>CA-2023-10348</t>
  </si>
  <si>
    <t>CG-4382</t>
  </si>
  <si>
    <t>Customer 68</t>
  </si>
  <si>
    <t>PROD-187</t>
  </si>
  <si>
    <t>$173.05</t>
  </si>
  <si>
    <t>$29.70</t>
  </si>
  <si>
    <t>CA-2023-10015</t>
  </si>
  <si>
    <t>CG-4170</t>
  </si>
  <si>
    <t>PROD-352</t>
  </si>
  <si>
    <t>$44.14</t>
  </si>
  <si>
    <t>-$5.46</t>
  </si>
  <si>
    <t>CA-2023-10244</t>
  </si>
  <si>
    <t>CG-2625</t>
  </si>
  <si>
    <t>PROD-544</t>
  </si>
  <si>
    <t>Labels Product 29</t>
  </si>
  <si>
    <t>$90.31</t>
  </si>
  <si>
    <t>$4.71</t>
  </si>
  <si>
    <t>CA-2023-10308</t>
  </si>
  <si>
    <t>CG-2916</t>
  </si>
  <si>
    <t>PROD-809</t>
  </si>
  <si>
    <t>$26.97</t>
  </si>
  <si>
    <t>-$1.36</t>
  </si>
  <si>
    <t>CA-2023-10263</t>
  </si>
  <si>
    <t>CG-8240</t>
  </si>
  <si>
    <t>Tables Product 10</t>
  </si>
  <si>
    <t>$115.52</t>
  </si>
  <si>
    <t>$7.60</t>
  </si>
  <si>
    <t>CA-2023-10102</t>
  </si>
  <si>
    <t>CG-4713</t>
  </si>
  <si>
    <t>PROD-638</t>
  </si>
  <si>
    <t>$57.45</t>
  </si>
  <si>
    <t>CA-2023-10282</t>
  </si>
  <si>
    <t>CG-3313</t>
  </si>
  <si>
    <t>PROD-468</t>
  </si>
  <si>
    <t>Binders Product 25</t>
  </si>
  <si>
    <t>$37.95</t>
  </si>
  <si>
    <t>$8.46</t>
  </si>
  <si>
    <t>CA-2023-10172</t>
  </si>
  <si>
    <t>CG-9931</t>
  </si>
  <si>
    <t>PROD-957</t>
  </si>
  <si>
    <t>$90.97</t>
  </si>
  <si>
    <t>CA-2023-10321</t>
  </si>
  <si>
    <t>CG-4122</t>
  </si>
  <si>
    <t>PROD-659</t>
  </si>
  <si>
    <t>$22.00</t>
  </si>
  <si>
    <t>CA-2023-10587</t>
  </si>
  <si>
    <t>CG-7208</t>
  </si>
  <si>
    <t>PROD-583</t>
  </si>
  <si>
    <t>Tables Product 7</t>
  </si>
  <si>
    <t>$12.00</t>
  </si>
  <si>
    <t>-$2.11</t>
  </si>
  <si>
    <t>CA-2023-10337</t>
  </si>
  <si>
    <t>CG-1706</t>
  </si>
  <si>
    <t>PROD-213</t>
  </si>
  <si>
    <t>Phones Product 25</t>
  </si>
  <si>
    <t>$207.90</t>
  </si>
  <si>
    <t>-$5.21</t>
  </si>
  <si>
    <t>CA-2023-10599</t>
  </si>
  <si>
    <t>CG-6977</t>
  </si>
  <si>
    <t>PROD-940</t>
  </si>
  <si>
    <t>$31.43</t>
  </si>
  <si>
    <t>$4.18</t>
  </si>
  <si>
    <t>CA-2023-10463</t>
  </si>
  <si>
    <t>CG-8727</t>
  </si>
  <si>
    <t>PROD-105</t>
  </si>
  <si>
    <t>$39.92</t>
  </si>
  <si>
    <t>-$6.48</t>
  </si>
  <si>
    <t>CA-2023-10537</t>
  </si>
  <si>
    <t>CG-7869</t>
  </si>
  <si>
    <t>PROD-407</t>
  </si>
  <si>
    <t>Copiers Product 30</t>
  </si>
  <si>
    <t>$422.82</t>
  </si>
  <si>
    <t>$73.83</t>
  </si>
  <si>
    <t>CA-2023-10107</t>
  </si>
  <si>
    <t>CG-3530</t>
  </si>
  <si>
    <t>PROD-752</t>
  </si>
  <si>
    <t>$1.04</t>
  </si>
  <si>
    <t>CA-2023-10057</t>
  </si>
  <si>
    <t>CG-3198</t>
  </si>
  <si>
    <t>PROD-723</t>
  </si>
  <si>
    <t>$28.84</t>
  </si>
  <si>
    <t>$3.30</t>
  </si>
  <si>
    <t>CA-2023-10440</t>
  </si>
  <si>
    <t>CG-3492</t>
  </si>
  <si>
    <t>PROD-807</t>
  </si>
  <si>
    <t>Art Product 26</t>
  </si>
  <si>
    <t>$107.17</t>
  </si>
  <si>
    <t>$3.76</t>
  </si>
  <si>
    <t>CA-2023-10184</t>
  </si>
  <si>
    <t>CG-4180</t>
  </si>
  <si>
    <t>Customer 136</t>
  </si>
  <si>
    <t>PROD-467</t>
  </si>
  <si>
    <t>$247.33</t>
  </si>
  <si>
    <t>-$18.53</t>
  </si>
  <si>
    <t>CA-2023-10515</t>
  </si>
  <si>
    <t>CG-2666</t>
  </si>
  <si>
    <t>PROD-128</t>
  </si>
  <si>
    <t>$37.62</t>
  </si>
  <si>
    <t>$6.41</t>
  </si>
  <si>
    <t>CA-2023-10543</t>
  </si>
  <si>
    <t>CG-2758</t>
  </si>
  <si>
    <t>$208.42</t>
  </si>
  <si>
    <t>-$51.64</t>
  </si>
  <si>
    <t>CA-2023-10530</t>
  </si>
  <si>
    <t>CG-4483</t>
  </si>
  <si>
    <t>PROD-343</t>
  </si>
  <si>
    <t>$207.09</t>
  </si>
  <si>
    <t>-$27.26</t>
  </si>
  <si>
    <t>CA-2023-10598</t>
  </si>
  <si>
    <t>CG-6563</t>
  </si>
  <si>
    <t>Tables Product 4</t>
  </si>
  <si>
    <t>$81.79</t>
  </si>
  <si>
    <t>$17.02</t>
  </si>
  <si>
    <t>CA-2023-10551</t>
  </si>
  <si>
    <t>CG-1613</t>
  </si>
  <si>
    <t>PROD-770</t>
  </si>
  <si>
    <t>$41.30</t>
  </si>
  <si>
    <t>CA-2023-10330</t>
  </si>
  <si>
    <t>CG-6636</t>
  </si>
  <si>
    <t>PROD-268</t>
  </si>
  <si>
    <t>$14.95</t>
  </si>
  <si>
    <t>$0.80</t>
  </si>
  <si>
    <t>CA-2023-10297</t>
  </si>
  <si>
    <t>CG-8037</t>
  </si>
  <si>
    <t>PROD-265</t>
  </si>
  <si>
    <t>Machines Product 29</t>
  </si>
  <si>
    <t>$155.39</t>
  </si>
  <si>
    <t>$22.49</t>
  </si>
  <si>
    <t>CA-2023-10328</t>
  </si>
  <si>
    <t>PROD-378</t>
  </si>
  <si>
    <t>$188.02</t>
  </si>
  <si>
    <t>$57.71</t>
  </si>
  <si>
    <t>CA-2023-10129</t>
  </si>
  <si>
    <t>CG-3539</t>
  </si>
  <si>
    <t>PROD-412</t>
  </si>
  <si>
    <t>Furnishings Product 5</t>
  </si>
  <si>
    <t>$195.08</t>
  </si>
  <si>
    <t>CA-2023-10278</t>
  </si>
  <si>
    <t>CG-2184</t>
  </si>
  <si>
    <t>$137.18</t>
  </si>
  <si>
    <t>$16.85</t>
  </si>
  <si>
    <t>CA-2023-10581</t>
  </si>
  <si>
    <t>CG-4442</t>
  </si>
  <si>
    <t>PROD-389</t>
  </si>
  <si>
    <t>Copiers Product 16</t>
  </si>
  <si>
    <t>$62.05</t>
  </si>
  <si>
    <t>$14.51</t>
  </si>
  <si>
    <t>CA-2023-10312</t>
  </si>
  <si>
    <t>CG-2203</t>
  </si>
  <si>
    <t>Customer 6</t>
  </si>
  <si>
    <t>PROD-109</t>
  </si>
  <si>
    <t>$476.57</t>
  </si>
  <si>
    <t>$82.99</t>
  </si>
  <si>
    <t>CA-2023-10508</t>
  </si>
  <si>
    <t>CG-1234</t>
  </si>
  <si>
    <t>PROD-969</t>
  </si>
  <si>
    <t>Storage Product 1</t>
  </si>
  <si>
    <t>$120.93</t>
  </si>
  <si>
    <t>CA-2023-10456</t>
  </si>
  <si>
    <t>CG-8377</t>
  </si>
  <si>
    <t>PROD-852</t>
  </si>
  <si>
    <t>$39.39</t>
  </si>
  <si>
    <t>$0.29</t>
  </si>
  <si>
    <t>CA-2023-10039</t>
  </si>
  <si>
    <t>CG-7493</t>
  </si>
  <si>
    <t>Chairs Product 29</t>
  </si>
  <si>
    <t>$153.15</t>
  </si>
  <si>
    <t>-$0.99</t>
  </si>
  <si>
    <t>CA-2023-10182</t>
  </si>
  <si>
    <t>CG-4162</t>
  </si>
  <si>
    <t>Labels Product 1</t>
  </si>
  <si>
    <t>$80.59</t>
  </si>
  <si>
    <t>-$0.14</t>
  </si>
  <si>
    <t>CA-2023-10423</t>
  </si>
  <si>
    <t>CG-1665</t>
  </si>
  <si>
    <t>PROD-327</t>
  </si>
  <si>
    <t>Tables Product 17</t>
  </si>
  <si>
    <t>$238.24</t>
  </si>
  <si>
    <t>-$16.13</t>
  </si>
  <si>
    <t>CA-2023-10252</t>
  </si>
  <si>
    <t>CG-1725</t>
  </si>
  <si>
    <t>Customer 35</t>
  </si>
  <si>
    <t>PROD-292</t>
  </si>
  <si>
    <t>Storage Product 20</t>
  </si>
  <si>
    <t>$47.03</t>
  </si>
  <si>
    <t>$6.00</t>
  </si>
  <si>
    <t>CA-2023-10235</t>
  </si>
  <si>
    <t>CG-8069</t>
  </si>
  <si>
    <t>PROD-748</t>
  </si>
  <si>
    <t>Phones Product 22</t>
  </si>
  <si>
    <t>$303.02</t>
  </si>
  <si>
    <t>$61.83</t>
  </si>
  <si>
    <t>CA-2023-10315</t>
  </si>
  <si>
    <t>CG-2738</t>
  </si>
  <si>
    <t>PROD-794</t>
  </si>
  <si>
    <t>Copiers Product 29</t>
  </si>
  <si>
    <t>$113.96</t>
  </si>
  <si>
    <t>$27.73</t>
  </si>
  <si>
    <t>CA-2023-10399</t>
  </si>
  <si>
    <t>CG-8450</t>
  </si>
  <si>
    <t>$49.11</t>
  </si>
  <si>
    <t>-$1.01</t>
  </si>
  <si>
    <t>CA-2023-10237</t>
  </si>
  <si>
    <t>CG-5322</t>
  </si>
  <si>
    <t>Tables Product 21</t>
  </si>
  <si>
    <t>$213.74</t>
  </si>
  <si>
    <t>$6.20</t>
  </si>
  <si>
    <t>CA-2023-10090</t>
  </si>
  <si>
    <t>CG-5585</t>
  </si>
  <si>
    <t>PROD-315</t>
  </si>
  <si>
    <t>$251.17</t>
  </si>
  <si>
    <t>$9.76</t>
  </si>
  <si>
    <t>CA-2023-10438</t>
  </si>
  <si>
    <t>CG-7853</t>
  </si>
  <si>
    <t>PROD-119</t>
  </si>
  <si>
    <t>Tables Product 16</t>
  </si>
  <si>
    <t>$326.19</t>
  </si>
  <si>
    <t>-$31.81</t>
  </si>
  <si>
    <t>CA-2023-10467</t>
  </si>
  <si>
    <t>CG-9831</t>
  </si>
  <si>
    <t>PROD-541</t>
  </si>
  <si>
    <t>$136.30</t>
  </si>
  <si>
    <t>CA-2023-10466</t>
  </si>
  <si>
    <t>CG-5490</t>
  </si>
  <si>
    <t>PROD-673</t>
  </si>
  <si>
    <t>$196.50</t>
  </si>
  <si>
    <t>-$19.77</t>
  </si>
  <si>
    <t>CA-2023-10589</t>
  </si>
  <si>
    <t>CG-7579</t>
  </si>
  <si>
    <t>PROD-685</t>
  </si>
  <si>
    <t>$4.45</t>
  </si>
  <si>
    <t>CA-2023-10066</t>
  </si>
  <si>
    <t>CG-4223</t>
  </si>
  <si>
    <t>PROD-197</t>
  </si>
  <si>
    <t>Accessories Product 3</t>
  </si>
  <si>
    <t>$150.73</t>
  </si>
  <si>
    <t>$21.84</t>
  </si>
  <si>
    <t>CA-2023-10484</t>
  </si>
  <si>
    <t>CG-1992</t>
  </si>
  <si>
    <t>$92.75</t>
  </si>
  <si>
    <t>$15.07</t>
  </si>
  <si>
    <t>CA-2023-10385</t>
  </si>
  <si>
    <t>CG-4998</t>
  </si>
  <si>
    <t>PROD-214</t>
  </si>
  <si>
    <t>Copiers Product 28</t>
  </si>
  <si>
    <t>$198.23</t>
  </si>
  <si>
    <t>CA-2023-10437</t>
  </si>
  <si>
    <t>CG-9974</t>
  </si>
  <si>
    <t>PROD-634</t>
  </si>
  <si>
    <t>Chairs Product 16</t>
  </si>
  <si>
    <t>$23.50</t>
  </si>
  <si>
    <t>-$1.00</t>
  </si>
  <si>
    <t>CA-2023-10473</t>
  </si>
  <si>
    <t>CG-9080</t>
  </si>
  <si>
    <t>Furnishings Product 2</t>
  </si>
  <si>
    <t>$187.62</t>
  </si>
  <si>
    <t>$4.56</t>
  </si>
  <si>
    <t>CA-2023-10137</t>
  </si>
  <si>
    <t>CG-4348</t>
  </si>
  <si>
    <t>PROD-406</t>
  </si>
  <si>
    <t>$276.84</t>
  </si>
  <si>
    <t>-$1.38</t>
  </si>
  <si>
    <t>CA-2023-10472</t>
  </si>
  <si>
    <t>CG-1879</t>
  </si>
  <si>
    <t>PROD-648</t>
  </si>
  <si>
    <t>$0.77</t>
  </si>
  <si>
    <t>CA-2023-10270</t>
  </si>
  <si>
    <t>CG-1298</t>
  </si>
  <si>
    <t>PROD-539</t>
  </si>
  <si>
    <t>Furnishings Product 19</t>
  </si>
  <si>
    <t>$90.83</t>
  </si>
  <si>
    <t>-$0.80</t>
  </si>
  <si>
    <t>CA-2023-10031</t>
  </si>
  <si>
    <t>CG-1539</t>
  </si>
  <si>
    <t>Customer 101</t>
  </si>
  <si>
    <t>Furnishings Product 27</t>
  </si>
  <si>
    <t>$79.33</t>
  </si>
  <si>
    <t>$0.95</t>
  </si>
  <si>
    <t>CA-2023-10583</t>
  </si>
  <si>
    <t>CG-4881</t>
  </si>
  <si>
    <t>$81.58</t>
  </si>
  <si>
    <t>$18.10</t>
  </si>
  <si>
    <t>CA-2023-10141</t>
  </si>
  <si>
    <t>CG-2531</t>
  </si>
  <si>
    <t>PROD-497</t>
  </si>
  <si>
    <t>$204.17</t>
  </si>
  <si>
    <t>$29.60</t>
  </si>
  <si>
    <t>CA-2023-10557</t>
  </si>
  <si>
    <t>CG-5646</t>
  </si>
  <si>
    <t>PROD-399</t>
  </si>
  <si>
    <t>$283.68</t>
  </si>
  <si>
    <t>CA-2023-10136</t>
  </si>
  <si>
    <t>CG-7788</t>
  </si>
  <si>
    <t>PROD-585</t>
  </si>
  <si>
    <t>$465.73</t>
  </si>
  <si>
    <t>$83.17</t>
  </si>
  <si>
    <t>CA-2023-10104</t>
  </si>
  <si>
    <t>CG-8121</t>
  </si>
  <si>
    <t>PROD-559</t>
  </si>
  <si>
    <t>Furnishings Product 6</t>
  </si>
  <si>
    <t>$80.80</t>
  </si>
  <si>
    <t>$3.27</t>
  </si>
  <si>
    <t>CA-2023-10265</t>
  </si>
  <si>
    <t>CG-9386</t>
  </si>
  <si>
    <t>PROD-499</t>
  </si>
  <si>
    <t>$500.23</t>
  </si>
  <si>
    <t>$48.43</t>
  </si>
  <si>
    <t>CA-2023-10511</t>
  </si>
  <si>
    <t>CG-6724</t>
  </si>
  <si>
    <t>PROD-609</t>
  </si>
  <si>
    <t>$108.98</t>
  </si>
  <si>
    <t>-$19.06</t>
  </si>
  <si>
    <t>CA-2023-10533</t>
  </si>
  <si>
    <t>CG-1661</t>
  </si>
  <si>
    <t>PROD-886</t>
  </si>
  <si>
    <t>Art Product 16</t>
  </si>
  <si>
    <t>$205.36</t>
  </si>
  <si>
    <t>$23.64</t>
  </si>
  <si>
    <t>CA-2023-10246</t>
  </si>
  <si>
    <t>CG-1071</t>
  </si>
  <si>
    <t>PROD-608</t>
  </si>
  <si>
    <t>Binders Product 27</t>
  </si>
  <si>
    <t>$18.56</t>
  </si>
  <si>
    <t>-$2.66</t>
  </si>
  <si>
    <t>CA-2023-10464</t>
  </si>
  <si>
    <t>CG-8939</t>
  </si>
  <si>
    <t>PROD-603</t>
  </si>
  <si>
    <t>$145.21</t>
  </si>
  <si>
    <t>-$19.72</t>
  </si>
  <si>
    <t>CA-2023-10255</t>
  </si>
  <si>
    <t>CG-9430</t>
  </si>
  <si>
    <t>PROD-799</t>
  </si>
  <si>
    <t>Furnishings Product 13</t>
  </si>
  <si>
    <t>$66.77</t>
  </si>
  <si>
    <t>$2.76</t>
  </si>
  <si>
    <t>CA-2023-10085</t>
  </si>
  <si>
    <t>CG-7078</t>
  </si>
  <si>
    <t>Storage Product 30</t>
  </si>
  <si>
    <t>$64.92</t>
  </si>
  <si>
    <t>$11.22</t>
  </si>
  <si>
    <t>CA-2023-10118</t>
  </si>
  <si>
    <t>CG-1301</t>
  </si>
  <si>
    <t>PROD-746</t>
  </si>
  <si>
    <t>$133.18</t>
  </si>
  <si>
    <t>-$23.61</t>
  </si>
  <si>
    <t>CA-2023-10569</t>
  </si>
  <si>
    <t>CG-3063</t>
  </si>
  <si>
    <t>PROD-475</t>
  </si>
  <si>
    <t>$59.93</t>
  </si>
  <si>
    <t>$8.48</t>
  </si>
  <si>
    <t>CA-2023-10218</t>
  </si>
  <si>
    <t>CG-6669</t>
  </si>
  <si>
    <t>Customer 27</t>
  </si>
  <si>
    <t>PROD-398</t>
  </si>
  <si>
    <t>$49.12</t>
  </si>
  <si>
    <t>$8.43</t>
  </si>
  <si>
    <t>CA-2023-10071</t>
  </si>
  <si>
    <t>CG-8490</t>
  </si>
  <si>
    <t>PROD-294</t>
  </si>
  <si>
    <t>$610.07</t>
  </si>
  <si>
    <t>$69.98</t>
  </si>
  <si>
    <t>CA-2023-10199</t>
  </si>
  <si>
    <t>CG-3424</t>
  </si>
  <si>
    <t>$245.62</t>
  </si>
  <si>
    <t>$54.95</t>
  </si>
  <si>
    <t>CA-2023-10307</t>
  </si>
  <si>
    <t>CG-4605</t>
  </si>
  <si>
    <t>PROD-598</t>
  </si>
  <si>
    <t>Accessories Product 9</t>
  </si>
  <si>
    <t>$259.80</t>
  </si>
  <si>
    <t>$33.86</t>
  </si>
  <si>
    <t>CA-2023-10143</t>
  </si>
  <si>
    <t>CG-8156</t>
  </si>
  <si>
    <t>PROD-134</t>
  </si>
  <si>
    <t>Accessories Product 17</t>
  </si>
  <si>
    <t>$102.93</t>
  </si>
  <si>
    <t>$30.95</t>
  </si>
  <si>
    <t>CA-2023-10544</t>
  </si>
  <si>
    <t>CG-1540</t>
  </si>
  <si>
    <t>Customer 45</t>
  </si>
  <si>
    <t>Storage Product 24</t>
  </si>
  <si>
    <t>$119.19</t>
  </si>
  <si>
    <t>$17.63</t>
  </si>
  <si>
    <t>CA-2023-10389</t>
  </si>
  <si>
    <t>CG-5155</t>
  </si>
  <si>
    <t>$66.98</t>
  </si>
  <si>
    <t>$16.53</t>
  </si>
  <si>
    <t>CA-2023-10378</t>
  </si>
  <si>
    <t>CG-6191</t>
  </si>
  <si>
    <t>Customer 133</t>
  </si>
  <si>
    <t>PROD-984</t>
  </si>
  <si>
    <t>$203.84</t>
  </si>
  <si>
    <t>-$51.36</t>
  </si>
  <si>
    <t>CA-2023-10450</t>
  </si>
  <si>
    <t>PROD-182</t>
  </si>
  <si>
    <t>$274.94</t>
  </si>
  <si>
    <t>$44.76</t>
  </si>
  <si>
    <t>CA-2023-10556</t>
  </si>
  <si>
    <t>CG-2334</t>
  </si>
  <si>
    <t>$141.13</t>
  </si>
  <si>
    <t>$24.89</t>
  </si>
  <si>
    <t>CA-2023-10269</t>
  </si>
  <si>
    <t>CG-1242</t>
  </si>
  <si>
    <t>Storage Product 11</t>
  </si>
  <si>
    <t>$121.79</t>
  </si>
  <si>
    <t>$19.20</t>
  </si>
  <si>
    <t>CA-2023-10462</t>
  </si>
  <si>
    <t>$108.96</t>
  </si>
  <si>
    <t>$13.98</t>
  </si>
  <si>
    <t>CA-2023-10134</t>
  </si>
  <si>
    <t>CG-4525</t>
  </si>
  <si>
    <t>PROD-874</t>
  </si>
  <si>
    <t>$334.89</t>
  </si>
  <si>
    <t>-$39.91</t>
  </si>
  <si>
    <t>CA-2023-10008</t>
  </si>
  <si>
    <t>CG-2291</t>
  </si>
  <si>
    <t>Binders Product 5</t>
  </si>
  <si>
    <t>$47.20</t>
  </si>
  <si>
    <t>$7.99</t>
  </si>
  <si>
    <t>CA-2023-10405</t>
  </si>
  <si>
    <t>CG-7400</t>
  </si>
  <si>
    <t>PROD-651</t>
  </si>
  <si>
    <t>$128.82</t>
  </si>
  <si>
    <t>CA-2023-10114</t>
  </si>
  <si>
    <t>CG-4271</t>
  </si>
  <si>
    <t>PROD-484</t>
  </si>
  <si>
    <t>$303.49</t>
  </si>
  <si>
    <t>$71.17</t>
  </si>
  <si>
    <t>CA-2023-10445</t>
  </si>
  <si>
    <t>CG-4587</t>
  </si>
  <si>
    <t>PROD-915</t>
  </si>
  <si>
    <t>$275.72</t>
  </si>
  <si>
    <t>$14.25</t>
  </si>
  <si>
    <t>CA-2023-10433</t>
  </si>
  <si>
    <t>CG-5287</t>
  </si>
  <si>
    <t>$93.73</t>
  </si>
  <si>
    <t>$18.06</t>
  </si>
  <si>
    <t>CA-2023-10035</t>
  </si>
  <si>
    <t>CG-2077</t>
  </si>
  <si>
    <t>$97.52</t>
  </si>
  <si>
    <t>$7.13</t>
  </si>
  <si>
    <t>CA-2023-10538</t>
  </si>
  <si>
    <t>CG-2950</t>
  </si>
  <si>
    <t>Paper Product 28</t>
  </si>
  <si>
    <t>$19.54</t>
  </si>
  <si>
    <t>$0.25</t>
  </si>
  <si>
    <t>CA-2023-10099</t>
  </si>
  <si>
    <t>CG-7807</t>
  </si>
  <si>
    <t>PROD-159</t>
  </si>
  <si>
    <t>$122.18</t>
  </si>
  <si>
    <t>$16.35</t>
  </si>
  <si>
    <t>CA-2023-10425</t>
  </si>
  <si>
    <t>CG-3855</t>
  </si>
  <si>
    <t>PROD-954</t>
  </si>
  <si>
    <t>$129.40</t>
  </si>
  <si>
    <t>CA-2023-10320</t>
  </si>
  <si>
    <t>CG-7447</t>
  </si>
  <si>
    <t>$27.41</t>
  </si>
  <si>
    <t>$5.01</t>
  </si>
  <si>
    <t>CA-2024-10592</t>
  </si>
  <si>
    <t>CG-1881</t>
  </si>
  <si>
    <t>Customer 13</t>
  </si>
  <si>
    <t>$96.42</t>
  </si>
  <si>
    <t>-$1.21</t>
  </si>
  <si>
    <t>CA-2024-10268</t>
  </si>
  <si>
    <t>CG-4966</t>
  </si>
  <si>
    <t>PROD-210</t>
  </si>
  <si>
    <t>Art Product 1</t>
  </si>
  <si>
    <t>$74.47</t>
  </si>
  <si>
    <t>$14.96</t>
  </si>
  <si>
    <t>CA-2024-10245</t>
  </si>
  <si>
    <t>CG-4904</t>
  </si>
  <si>
    <t>Tables Product 22</t>
  </si>
  <si>
    <t>$160.43</t>
  </si>
  <si>
    <t>$15.65</t>
  </si>
  <si>
    <t>CA-2024-10080</t>
  </si>
  <si>
    <t>CG-9586</t>
  </si>
  <si>
    <t>$86.64</t>
  </si>
  <si>
    <t>-$2.15</t>
  </si>
  <si>
    <t>CA-2024-10216</t>
  </si>
  <si>
    <t>CG-8957</t>
  </si>
  <si>
    <t>PROD-536</t>
  </si>
  <si>
    <t>Storage Product 15</t>
  </si>
  <si>
    <t>$42.97</t>
  </si>
  <si>
    <t>$7.00</t>
  </si>
  <si>
    <t>CA-2024-10358</t>
  </si>
  <si>
    <t>CG-3419</t>
  </si>
  <si>
    <t>$45.78</t>
  </si>
  <si>
    <t>-$9.18</t>
  </si>
  <si>
    <t>CA-2024-10105</t>
  </si>
  <si>
    <t>CG-2689</t>
  </si>
  <si>
    <t>PROD-505</t>
  </si>
  <si>
    <t>Paper Product 11</t>
  </si>
  <si>
    <t>$67.33</t>
  </si>
  <si>
    <t>$11.57</t>
  </si>
  <si>
    <t>CA-2024-10072</t>
  </si>
  <si>
    <t>CG-9228</t>
  </si>
  <si>
    <t>PROD-895</t>
  </si>
  <si>
    <t>$17.66</t>
  </si>
  <si>
    <t>CA-2024-10494</t>
  </si>
  <si>
    <t>CG-6266</t>
  </si>
  <si>
    <t>Accessories Product 19</t>
  </si>
  <si>
    <t>$556.93</t>
  </si>
  <si>
    <t>CA-2024-10113</t>
  </si>
  <si>
    <t>CG-9433</t>
  </si>
  <si>
    <t>PROD-331</t>
  </si>
  <si>
    <t>Envelopes Product 21</t>
  </si>
  <si>
    <t>$134.34</t>
  </si>
  <si>
    <t>$16.06</t>
  </si>
  <si>
    <t>CA-2024-10295</t>
  </si>
  <si>
    <t>CG-8099</t>
  </si>
  <si>
    <t>$35.77</t>
  </si>
  <si>
    <t>CA-2024-10271</t>
  </si>
  <si>
    <t>CG-9105</t>
  </si>
  <si>
    <t>$72.84</t>
  </si>
  <si>
    <t>$15.35</t>
  </si>
  <si>
    <t>CA-2024-10527</t>
  </si>
  <si>
    <t>CG-3000</t>
  </si>
  <si>
    <t>PROD-316</t>
  </si>
  <si>
    <t>$99.72</t>
  </si>
  <si>
    <t>-$1.62</t>
  </si>
  <si>
    <t>CA-2024-10338</t>
  </si>
  <si>
    <t>CG-8060</t>
  </si>
  <si>
    <t>PROD-136</t>
  </si>
  <si>
    <t>$22.76</t>
  </si>
  <si>
    <t>$3.65</t>
  </si>
  <si>
    <t>CA-2024-10390</t>
  </si>
  <si>
    <t>CG-7732</t>
  </si>
  <si>
    <t>PROD-587</t>
  </si>
  <si>
    <t>$300.47</t>
  </si>
  <si>
    <t>$32.72</t>
  </si>
  <si>
    <t>CA-2024-10492</t>
  </si>
  <si>
    <t>CG-8678</t>
  </si>
  <si>
    <t>PROD-180</t>
  </si>
  <si>
    <t>Machines Product 30</t>
  </si>
  <si>
    <t>$175.97</t>
  </si>
  <si>
    <t>$34.74</t>
  </si>
  <si>
    <t>CA-2024-10507</t>
  </si>
  <si>
    <t>CG-4030</t>
  </si>
  <si>
    <t>PROD-804</t>
  </si>
  <si>
    <t>$91.18</t>
  </si>
  <si>
    <t>$0.48</t>
  </si>
  <si>
    <t>CA-2024-10306</t>
  </si>
  <si>
    <t>CG-3521</t>
  </si>
  <si>
    <t>Copiers Product 10</t>
  </si>
  <si>
    <t>$258.03</t>
  </si>
  <si>
    <t>$49.23</t>
  </si>
  <si>
    <t>CA-2024-10125</t>
  </si>
  <si>
    <t>CG-9266</t>
  </si>
  <si>
    <t>PROD-701</t>
  </si>
  <si>
    <t>$64.91</t>
  </si>
  <si>
    <t>$1.90</t>
  </si>
  <si>
    <t>CA-2024-10110</t>
  </si>
  <si>
    <t>CG-8870</t>
  </si>
  <si>
    <t>$311.66</t>
  </si>
  <si>
    <t>$44.56</t>
  </si>
  <si>
    <t>CA-2024-10302</t>
  </si>
  <si>
    <t>CG-8951</t>
  </si>
  <si>
    <t>PROD-227</t>
  </si>
  <si>
    <t>$49.75</t>
  </si>
  <si>
    <t>$6.89</t>
  </si>
  <si>
    <t>CA-2024-10475</t>
  </si>
  <si>
    <t>CG-4888</t>
  </si>
  <si>
    <t>PROD-948</t>
  </si>
  <si>
    <t>$258.46</t>
  </si>
  <si>
    <t>$8.21</t>
  </si>
  <si>
    <t>CA-2024-10334</t>
  </si>
  <si>
    <t>CG-8448</t>
  </si>
  <si>
    <t>Customer 98</t>
  </si>
  <si>
    <t>$257.25</t>
  </si>
  <si>
    <t>-$15.23</t>
  </si>
  <si>
    <t>CA-2024-10117</t>
  </si>
  <si>
    <t>CG-8128</t>
  </si>
  <si>
    <t>PROD-513</t>
  </si>
  <si>
    <t>$108.70</t>
  </si>
  <si>
    <t>$20.82</t>
  </si>
  <si>
    <t>CA-2024-10160</t>
  </si>
  <si>
    <t>CG-5117</t>
  </si>
  <si>
    <t>PROD-782</t>
  </si>
  <si>
    <t>$368.19</t>
  </si>
  <si>
    <t>$40.44</t>
  </si>
  <si>
    <t>CA-2024-10103</t>
  </si>
  <si>
    <t>CG-4374</t>
  </si>
  <si>
    <t>PROD-717</t>
  </si>
  <si>
    <t>Art Product 30</t>
  </si>
  <si>
    <t>$180.45</t>
  </si>
  <si>
    <t>CA-2024-10408</t>
  </si>
  <si>
    <t>CG-2469</t>
  </si>
  <si>
    <t>PROD-650</t>
  </si>
  <si>
    <t>Binders Product 21</t>
  </si>
  <si>
    <t>$20.89</t>
  </si>
  <si>
    <t>$5.34</t>
  </si>
  <si>
    <t>CA-2024-10052</t>
  </si>
  <si>
    <t>CG-8112</t>
  </si>
  <si>
    <t>PROD-535</t>
  </si>
  <si>
    <t>Tables Product 25</t>
  </si>
  <si>
    <t>$55.16</t>
  </si>
  <si>
    <t>-$0.75</t>
  </si>
  <si>
    <t>CA-2024-10005</t>
  </si>
  <si>
    <t>CG-5488</t>
  </si>
  <si>
    <t>PROD-653</t>
  </si>
  <si>
    <t>$128.70</t>
  </si>
  <si>
    <t>$12.98</t>
  </si>
  <si>
    <t>CA-2024-10074</t>
  </si>
  <si>
    <t>CG-9780</t>
  </si>
  <si>
    <t>PROD-323</t>
  </si>
  <si>
    <t>$163.27</t>
  </si>
  <si>
    <t>CA-2024-10274</t>
  </si>
  <si>
    <t>CG-7719</t>
  </si>
  <si>
    <t>Storage Product 10</t>
  </si>
  <si>
    <t>$119.32</t>
  </si>
  <si>
    <t>-$17.39</t>
  </si>
  <si>
    <t>CA-2024-10406</t>
  </si>
  <si>
    <t>CG-6127</t>
  </si>
  <si>
    <t>PROD-774</t>
  </si>
  <si>
    <t>$298.13</t>
  </si>
  <si>
    <t>$16.55</t>
  </si>
  <si>
    <t>CA-2024-10248</t>
  </si>
  <si>
    <t>CG-9095</t>
  </si>
  <si>
    <t>$88.13</t>
  </si>
  <si>
    <t>$18.26</t>
  </si>
  <si>
    <t>CA-2024-10020</t>
  </si>
  <si>
    <t>CG-1580</t>
  </si>
  <si>
    <t>PROD-175</t>
  </si>
  <si>
    <t>$42.71</t>
  </si>
  <si>
    <t>$6.88</t>
  </si>
  <si>
    <t>CA-2024-10062</t>
  </si>
  <si>
    <t>CG-6408</t>
  </si>
  <si>
    <t>PROD-247</t>
  </si>
  <si>
    <t>$137.34</t>
  </si>
  <si>
    <t>$2.74</t>
  </si>
  <si>
    <t>CA-2024-10502</t>
  </si>
  <si>
    <t>CG-3015</t>
  </si>
  <si>
    <t>PROD-837</t>
  </si>
  <si>
    <t>Chairs Product 7</t>
  </si>
  <si>
    <t>$37.55</t>
  </si>
  <si>
    <t>-$0.82</t>
  </si>
  <si>
    <t>CA-2024-10434</t>
  </si>
  <si>
    <t>CG-4247</t>
  </si>
  <si>
    <t>PROD-736</t>
  </si>
  <si>
    <t>$339.96</t>
  </si>
  <si>
    <t>$37.72</t>
  </si>
  <si>
    <t>CA-2024-10219</t>
  </si>
  <si>
    <t>CG-7644</t>
  </si>
  <si>
    <t>PROD-514</t>
  </si>
  <si>
    <t>Phones Product 14</t>
  </si>
  <si>
    <t>$401.55</t>
  </si>
  <si>
    <t>$140.41</t>
  </si>
  <si>
    <t>CA-2024-10093</t>
  </si>
  <si>
    <t>CG-7924</t>
  </si>
  <si>
    <t>PROD-588</t>
  </si>
  <si>
    <t>Labels Product 11</t>
  </si>
  <si>
    <t>$80.79</t>
  </si>
  <si>
    <t>$6.46</t>
  </si>
  <si>
    <t>CA-2024-10022</t>
  </si>
  <si>
    <t>CG-1851</t>
  </si>
  <si>
    <t>$130.79</t>
  </si>
  <si>
    <t>CA-2024-10197</t>
  </si>
  <si>
    <t>CG-2813</t>
  </si>
  <si>
    <t>Customer 100</t>
  </si>
  <si>
    <t>PROD-124</t>
  </si>
  <si>
    <t>Tables Product 13</t>
  </si>
  <si>
    <t>$90.57</t>
  </si>
  <si>
    <t>$1.39</t>
  </si>
  <si>
    <t>CA-2024-10257</t>
  </si>
  <si>
    <t>CG-6555</t>
  </si>
  <si>
    <t>$24.78</t>
  </si>
  <si>
    <t>$1.13</t>
  </si>
  <si>
    <t>CA-2024-10067</t>
  </si>
  <si>
    <t>CG-9502</t>
  </si>
  <si>
    <t>PROD-880</t>
  </si>
  <si>
    <t>$36.98</t>
  </si>
  <si>
    <t>$4.88</t>
  </si>
  <si>
    <t>CA-2024-10224</t>
  </si>
  <si>
    <t>CG-7582</t>
  </si>
  <si>
    <t>$151.02</t>
  </si>
  <si>
    <t>$27.38</t>
  </si>
  <si>
    <t>CA-2024-10041</t>
  </si>
  <si>
    <t>CG-9258</t>
  </si>
  <si>
    <t>$64.46</t>
  </si>
  <si>
    <t>CA-2024-10552</t>
  </si>
  <si>
    <t>CG-9085</t>
  </si>
  <si>
    <t>Chairs Product 25</t>
  </si>
  <si>
    <t>$428.25</t>
  </si>
  <si>
    <t>$30.68</t>
  </si>
  <si>
    <t>CA-2024-10285</t>
  </si>
  <si>
    <t>CG-5658</t>
  </si>
  <si>
    <t>$151.14</t>
  </si>
  <si>
    <t>$10.71</t>
  </si>
  <si>
    <t>CA-2024-10398</t>
  </si>
  <si>
    <t>CG-8262</t>
  </si>
  <si>
    <t>PROD-166</t>
  </si>
  <si>
    <t>$203.88</t>
  </si>
  <si>
    <t>$6.26</t>
  </si>
  <si>
    <t>CA-2024-10167</t>
  </si>
  <si>
    <t>CG-3224</t>
  </si>
  <si>
    <t>PROD-790</t>
  </si>
  <si>
    <t>Chairs Product 5</t>
  </si>
  <si>
    <t>$153.19</t>
  </si>
  <si>
    <t>$11.01</t>
  </si>
  <si>
    <t>CA-2024-10496</t>
  </si>
  <si>
    <t>CG-2573</t>
  </si>
  <si>
    <t>PROD-686</t>
  </si>
  <si>
    <t>Machines Product 17</t>
  </si>
  <si>
    <t>$224.33</t>
  </si>
  <si>
    <t>$35.02</t>
  </si>
  <si>
    <t>CA-2024-10030</t>
  </si>
  <si>
    <t>CG-7190</t>
  </si>
  <si>
    <t>PROD-242</t>
  </si>
  <si>
    <t>Copiers Product 1</t>
  </si>
  <si>
    <t>$108.89</t>
  </si>
  <si>
    <t>-$8.23</t>
  </si>
  <si>
    <t>CA-2024-10304</t>
  </si>
  <si>
    <t>CG-2706</t>
  </si>
  <si>
    <t>PROD-383</t>
  </si>
  <si>
    <t>$255.84</t>
  </si>
  <si>
    <t>$14.14</t>
  </si>
  <si>
    <t>CA-2024-10154</t>
  </si>
  <si>
    <t>CG-3309</t>
  </si>
  <si>
    <t>PROD-584</t>
  </si>
  <si>
    <t>Chairs Product 26</t>
  </si>
  <si>
    <t>$52.66</t>
  </si>
  <si>
    <t>$5.55</t>
  </si>
  <si>
    <t>CA-2024-10329</t>
  </si>
  <si>
    <t>CG-4326</t>
  </si>
  <si>
    <t>Furnishings Product 28</t>
  </si>
  <si>
    <t>$262.43</t>
  </si>
  <si>
    <t>$27.23</t>
  </si>
  <si>
    <t>CA-2024-10153</t>
  </si>
  <si>
    <t>PROD-787</t>
  </si>
  <si>
    <t>Paper Product 20</t>
  </si>
  <si>
    <t>$162.83</t>
  </si>
  <si>
    <t>$30.93</t>
  </si>
  <si>
    <t>CA-2024-10435</t>
  </si>
  <si>
    <t>CG-4262</t>
  </si>
  <si>
    <t>PROD-992</t>
  </si>
  <si>
    <t>$291.25</t>
  </si>
  <si>
    <t>$15.60</t>
  </si>
  <si>
    <t>CA-2024-10018</t>
  </si>
  <si>
    <t>CG-3491</t>
  </si>
  <si>
    <t>PROD-152</t>
  </si>
  <si>
    <t>$321.14</t>
  </si>
  <si>
    <t>$39.75</t>
  </si>
  <si>
    <t>CA-2024-10290</t>
  </si>
  <si>
    <t>CG-3476</t>
  </si>
  <si>
    <t>PROD-444</t>
  </si>
  <si>
    <t>$29.59</t>
  </si>
  <si>
    <t>$4.52</t>
  </si>
  <si>
    <t>CA-2024-10126</t>
  </si>
  <si>
    <t>CG-6017</t>
  </si>
  <si>
    <t>PROD-931</t>
  </si>
  <si>
    <t>Machines Product 5</t>
  </si>
  <si>
    <t>$297.16</t>
  </si>
  <si>
    <t>$79.16</t>
  </si>
  <si>
    <t>CA-2024-10532</t>
  </si>
  <si>
    <t>CG-9953</t>
  </si>
  <si>
    <t>$112.12</t>
  </si>
  <si>
    <t>$16.79</t>
  </si>
  <si>
    <t>CA-2024-10415</t>
  </si>
  <si>
    <t>CG-5134</t>
  </si>
  <si>
    <t>PROD-261</t>
  </si>
  <si>
    <t>$164.57</t>
  </si>
  <si>
    <t>$19.78</t>
  </si>
  <si>
    <t>CA-2024-10366</t>
  </si>
  <si>
    <t>CG-9014</t>
  </si>
  <si>
    <t>Copiers Product 5</t>
  </si>
  <si>
    <t>$130.17</t>
  </si>
  <si>
    <t>-$16.86</t>
  </si>
  <si>
    <t>CA-2024-10194</t>
  </si>
  <si>
    <t>CG-4765</t>
  </si>
  <si>
    <t>PROD-314</t>
  </si>
  <si>
    <t>Accessories Product 14</t>
  </si>
  <si>
    <t>$63.10</t>
  </si>
  <si>
    <t>$12.44</t>
  </si>
  <si>
    <t>CA-2024-10595</t>
  </si>
  <si>
    <t>CG-8422</t>
  </si>
  <si>
    <t>PROD-273</t>
  </si>
  <si>
    <t>Copiers Product 18</t>
  </si>
  <si>
    <t>$259.53</t>
  </si>
  <si>
    <t>$45.83</t>
  </si>
  <si>
    <t>CA-2024-10596</t>
  </si>
  <si>
    <t>CG-9287</t>
  </si>
  <si>
    <t>PROD-421</t>
  </si>
  <si>
    <t>$560.91</t>
  </si>
  <si>
    <t>$131.50</t>
  </si>
  <si>
    <t>CA-2024-10230</t>
  </si>
  <si>
    <t>CG-5143</t>
  </si>
  <si>
    <t>PROD-538</t>
  </si>
  <si>
    <t>$82.27</t>
  </si>
  <si>
    <t>$2.38</t>
  </si>
  <si>
    <t>CA-2024-10149</t>
  </si>
  <si>
    <t>CG-6889</t>
  </si>
  <si>
    <t>PROD-301</t>
  </si>
  <si>
    <t>$85.19</t>
  </si>
  <si>
    <t>$17.45</t>
  </si>
  <si>
    <t>CA-2024-10324</t>
  </si>
  <si>
    <t>CG-2674</t>
  </si>
  <si>
    <t>PROD-621</t>
  </si>
  <si>
    <t>$222.17</t>
  </si>
  <si>
    <t>$37.07</t>
  </si>
  <si>
    <t>CA-2024-10059</t>
  </si>
  <si>
    <t>CG-8368</t>
  </si>
  <si>
    <t>$848.74</t>
  </si>
  <si>
    <t>$16.74</t>
  </si>
  <si>
    <t>CA-2024-10347</t>
  </si>
  <si>
    <t>CG-7654</t>
  </si>
  <si>
    <t>PROD-299</t>
  </si>
  <si>
    <t>$258.12</t>
  </si>
  <si>
    <t>-$45.14</t>
  </si>
  <si>
    <t>CA-2024-10514</t>
  </si>
  <si>
    <t>CG-8255</t>
  </si>
  <si>
    <t>PROD-741</t>
  </si>
  <si>
    <t>Accessories Product 25</t>
  </si>
  <si>
    <t>$186.19</t>
  </si>
  <si>
    <t>$35.07</t>
  </si>
  <si>
    <t>CA-2024-10100</t>
  </si>
  <si>
    <t>CG-1987</t>
  </si>
  <si>
    <t>PROD-689</t>
  </si>
  <si>
    <t>$142.47</t>
  </si>
  <si>
    <t>$29.09</t>
  </si>
  <si>
    <t>CA-2024-10250</t>
  </si>
  <si>
    <t>CG-8119</t>
  </si>
  <si>
    <t>PROD-329</t>
  </si>
  <si>
    <t>Storage Product 18</t>
  </si>
  <si>
    <t>$46.11</t>
  </si>
  <si>
    <t>$10.04</t>
  </si>
  <si>
    <t>CA-2024-10427</t>
  </si>
  <si>
    <t>CG-4057</t>
  </si>
  <si>
    <t>PROD-750</t>
  </si>
  <si>
    <t>$168.16</t>
  </si>
  <si>
    <t>CA-2024-10336</t>
  </si>
  <si>
    <t>CG-4815</t>
  </si>
  <si>
    <t>PROD-338</t>
  </si>
  <si>
    <t>Machines Product 15</t>
  </si>
  <si>
    <t>$94.76</t>
  </si>
  <si>
    <t>CA-2024-10461</t>
  </si>
  <si>
    <t>CG-6392</t>
  </si>
  <si>
    <t>PROD-672</t>
  </si>
  <si>
    <t>$60.53</t>
  </si>
  <si>
    <t>$10.05</t>
  </si>
  <si>
    <t>CA-2024-10000</t>
  </si>
  <si>
    <t>CG-7949</t>
  </si>
  <si>
    <t>PROD-376</t>
  </si>
  <si>
    <t>Paper Product 1</t>
  </si>
  <si>
    <t>$171.67</t>
  </si>
  <si>
    <t>$17.09</t>
  </si>
  <si>
    <t>CA-2024-10191</t>
  </si>
  <si>
    <t>CG-4922</t>
  </si>
  <si>
    <t>PROD-267</t>
  </si>
  <si>
    <t>$322.19</t>
  </si>
  <si>
    <t>$31.36</t>
  </si>
  <si>
    <t>CA-2024-10006</t>
  </si>
  <si>
    <t>CG-4157</t>
  </si>
  <si>
    <t>PROD-781</t>
  </si>
  <si>
    <t>$170.32</t>
  </si>
  <si>
    <t>$28.61</t>
  </si>
  <si>
    <t>CA-2024-10011</t>
  </si>
  <si>
    <t>CG-7287</t>
  </si>
  <si>
    <t>PROD-671</t>
  </si>
  <si>
    <t>Paper Product 17</t>
  </si>
  <si>
    <t>$42.09</t>
  </si>
  <si>
    <t>CA-2024-10578</t>
  </si>
  <si>
    <t>CG-8229</t>
  </si>
  <si>
    <t>PROD-864</t>
  </si>
  <si>
    <t>$17.10</t>
  </si>
  <si>
    <t>$0.73</t>
  </si>
  <si>
    <t>CA-2024-10064</t>
  </si>
  <si>
    <t>CG-3708</t>
  </si>
  <si>
    <t>Bookcases Product 22</t>
  </si>
  <si>
    <t>$45.37</t>
  </si>
  <si>
    <t>CA-2024-10403</t>
  </si>
  <si>
    <t>CG-4110</t>
  </si>
  <si>
    <t>$95.29</t>
  </si>
  <si>
    <t>$25.60</t>
  </si>
  <si>
    <t>CA-2024-10503</t>
  </si>
  <si>
    <t>CG-7884</t>
  </si>
  <si>
    <t>$63.79</t>
  </si>
  <si>
    <t>$5.56</t>
  </si>
  <si>
    <t>CA-2024-10121</t>
  </si>
  <si>
    <t>CG-4083</t>
  </si>
  <si>
    <t>PROD-517</t>
  </si>
  <si>
    <t>$101.62</t>
  </si>
  <si>
    <t>-$8.09</t>
  </si>
  <si>
    <t>CA-2024-10550</t>
  </si>
  <si>
    <t>CG-7900</t>
  </si>
  <si>
    <t>$48.86</t>
  </si>
  <si>
    <t>$7.47</t>
  </si>
  <si>
    <t>CA-2024-10559</t>
  </si>
  <si>
    <t>CG-1818</t>
  </si>
  <si>
    <t>PROD-855</t>
  </si>
  <si>
    <t>$135.41</t>
  </si>
  <si>
    <t>$7.77</t>
  </si>
  <si>
    <t>CA-2024-10033</t>
  </si>
  <si>
    <t>CG-5000</t>
  </si>
  <si>
    <t>PROD-198</t>
  </si>
  <si>
    <t>$11.44</t>
  </si>
  <si>
    <t>$1.74</t>
  </si>
  <si>
    <t>CA-2024-10525</t>
  </si>
  <si>
    <t>CG-6765</t>
  </si>
  <si>
    <t>PROD-662</t>
  </si>
  <si>
    <t>Tables Product 11</t>
  </si>
  <si>
    <t>$56.08</t>
  </si>
  <si>
    <t>CA-2024-10413</t>
  </si>
  <si>
    <t>CG-6008</t>
  </si>
  <si>
    <t>$196.13</t>
  </si>
  <si>
    <t>$42.62</t>
  </si>
  <si>
    <t>CA-2024-10251</t>
  </si>
  <si>
    <t>CG-3053</t>
  </si>
  <si>
    <t>PROD-882</t>
  </si>
  <si>
    <t>Paper Product 8</t>
  </si>
  <si>
    <t>$102.02</t>
  </si>
  <si>
    <t>$22.34</t>
  </si>
  <si>
    <t>CA-2024-10159</t>
  </si>
  <si>
    <t>CG-3808</t>
  </si>
  <si>
    <t>PROD-786</t>
  </si>
  <si>
    <t>$115.60</t>
  </si>
  <si>
    <t>$10.48</t>
  </si>
  <si>
    <t>CA-2024-10078</t>
  </si>
  <si>
    <t>CG-2980</t>
  </si>
  <si>
    <t>PROD-892</t>
  </si>
  <si>
    <t>CA-2024-10498</t>
  </si>
  <si>
    <t>CG-6137</t>
  </si>
  <si>
    <t>PROD-626</t>
  </si>
  <si>
    <t>$227.00</t>
  </si>
  <si>
    <t>$57.85</t>
  </si>
  <si>
    <t>CA-2024-10070</t>
  </si>
  <si>
    <t>CG-2913</t>
  </si>
  <si>
    <t>PROD-589</t>
  </si>
  <si>
    <t>$89.80</t>
  </si>
  <si>
    <t>$17.15</t>
  </si>
  <si>
    <t>CA-2024-10373</t>
  </si>
  <si>
    <t>CG-3161</t>
  </si>
  <si>
    <t>$170.15</t>
  </si>
  <si>
    <t>$27.60</t>
  </si>
  <si>
    <t>CA-2024-10281</t>
  </si>
  <si>
    <t>CG-5270</t>
  </si>
  <si>
    <t>PROD-696</t>
  </si>
  <si>
    <t>Bookcases Product 3</t>
  </si>
  <si>
    <t>$205.49</t>
  </si>
  <si>
    <t>-$15.88</t>
  </si>
  <si>
    <t>CA-2024-10576</t>
  </si>
  <si>
    <t>CG-7764</t>
  </si>
  <si>
    <t>$561.08</t>
  </si>
  <si>
    <t>$60.13</t>
  </si>
  <si>
    <t>CA-2024-10489</t>
  </si>
  <si>
    <t>CG-7963</t>
  </si>
  <si>
    <t>PROD-687</t>
  </si>
  <si>
    <t>$341.98</t>
  </si>
  <si>
    <t>$72.62</t>
  </si>
  <si>
    <t>CA-2024-10504</t>
  </si>
  <si>
    <t>CG-1233</t>
  </si>
  <si>
    <t>Storage Product 8</t>
  </si>
  <si>
    <t>$122.09</t>
  </si>
  <si>
    <t>$33.59</t>
  </si>
  <si>
    <t>CA-2024-10211</t>
  </si>
  <si>
    <t>CG-5177</t>
  </si>
  <si>
    <t>PROD-656</t>
  </si>
  <si>
    <t>$37.81</t>
  </si>
  <si>
    <t>$0.99</t>
  </si>
  <si>
    <t>CA-2024-10524</t>
  </si>
  <si>
    <t>CG-5677</t>
  </si>
  <si>
    <t>PROD-280</t>
  </si>
  <si>
    <t>Storage Product 19</t>
  </si>
  <si>
    <t>$25.38</t>
  </si>
  <si>
    <t>$4.93</t>
  </si>
  <si>
    <t>CA-2024-10510</t>
  </si>
  <si>
    <t>CG-1493</t>
  </si>
  <si>
    <t>$22.35</t>
  </si>
  <si>
    <t>-$3.20</t>
  </si>
  <si>
    <t>CA-2024-10397</t>
  </si>
  <si>
    <t>CG-2109</t>
  </si>
  <si>
    <t>PROD-471</t>
  </si>
  <si>
    <t>$83.65</t>
  </si>
  <si>
    <t>CA-2024-10227</t>
  </si>
  <si>
    <t>CG-1649</t>
  </si>
  <si>
    <t>PROD-519</t>
  </si>
  <si>
    <t>Bookcases Product 29</t>
  </si>
  <si>
    <t>$119.63</t>
  </si>
  <si>
    <t>$2.91</t>
  </si>
  <si>
    <t>CA-2024-10161</t>
  </si>
  <si>
    <t>Art Product 4</t>
  </si>
  <si>
    <t>$108.46</t>
  </si>
  <si>
    <t>-$10.53</t>
  </si>
  <si>
    <t>CA-2024-10098</t>
  </si>
  <si>
    <t>CG-7284</t>
  </si>
  <si>
    <t>$372.94</t>
  </si>
  <si>
    <t>-$3.13</t>
  </si>
  <si>
    <t>CA-2024-10163</t>
  </si>
  <si>
    <t>CG-7465</t>
  </si>
  <si>
    <t>$30.08</t>
  </si>
  <si>
    <t>$0.42</t>
  </si>
  <si>
    <t>CA-2024-10150</t>
  </si>
  <si>
    <t>CG-5008</t>
  </si>
  <si>
    <t>PROD-932</t>
  </si>
  <si>
    <t>$88.79</t>
  </si>
  <si>
    <t>$10.97</t>
  </si>
  <si>
    <t>CA-2024-10058</t>
  </si>
  <si>
    <t>CG-2279</t>
  </si>
  <si>
    <t>PROD-966</t>
  </si>
  <si>
    <t>Binders Product 20</t>
  </si>
  <si>
    <t>$43.74</t>
  </si>
  <si>
    <t>$4.99</t>
  </si>
  <si>
    <t>CA-2024-10076</t>
  </si>
  <si>
    <t>CG-5799</t>
  </si>
  <si>
    <t>Copiers Product 27</t>
  </si>
  <si>
    <t>$123.09</t>
  </si>
  <si>
    <t>$7.16</t>
  </si>
  <si>
    <t>CA-2024-10470</t>
  </si>
  <si>
    <t>CG-4775</t>
  </si>
  <si>
    <t>$21.57</t>
  </si>
  <si>
    <t>$0.14</t>
  </si>
  <si>
    <t>CA-2024-10549</t>
  </si>
  <si>
    <t>CG-9500</t>
  </si>
  <si>
    <t>$28.22</t>
  </si>
  <si>
    <t>$2.23</t>
  </si>
  <si>
    <t>CA-2024-10220</t>
  </si>
  <si>
    <t>CG-9210</t>
  </si>
  <si>
    <t>$38.77</t>
  </si>
  <si>
    <t>$5.77</t>
  </si>
  <si>
    <t>CA-2024-10517</t>
  </si>
  <si>
    <t>CG-2525</t>
  </si>
  <si>
    <t>PROD-668</t>
  </si>
  <si>
    <t>$107.42</t>
  </si>
  <si>
    <t>$5.14</t>
  </si>
  <si>
    <t>CA-2024-10209</t>
  </si>
  <si>
    <t>PROD-640</t>
  </si>
  <si>
    <t>$154.28</t>
  </si>
  <si>
    <t>$5.59</t>
  </si>
  <si>
    <t>CA-2024-10387</t>
  </si>
  <si>
    <t>CG-3017</t>
  </si>
  <si>
    <t>Chairs Product 22</t>
  </si>
  <si>
    <t>$220.81</t>
  </si>
  <si>
    <t>$53.36</t>
  </si>
  <si>
    <t>CA-2024-10016</t>
  </si>
  <si>
    <t>CG-2409</t>
  </si>
  <si>
    <t>$59.70</t>
  </si>
  <si>
    <t>$12.99</t>
  </si>
  <si>
    <t>CA-2024-10391</t>
  </si>
  <si>
    <t>CG-6519</t>
  </si>
  <si>
    <t>PROD-691</t>
  </si>
  <si>
    <t>$139.12</t>
  </si>
  <si>
    <t>-$21.60</t>
  </si>
  <si>
    <t>CA-2024-10568</t>
  </si>
  <si>
    <t>CG-9348</t>
  </si>
  <si>
    <t>$148.01</t>
  </si>
  <si>
    <t>-$11.85</t>
  </si>
  <si>
    <t>CA-2024-10142</t>
  </si>
  <si>
    <t>CG-1040</t>
  </si>
  <si>
    <t>Tables Product 2</t>
  </si>
  <si>
    <t>$99.00</t>
  </si>
  <si>
    <t>$18.66</t>
  </si>
  <si>
    <t>CA-2024-10082</t>
  </si>
  <si>
    <t>CG-2709</t>
  </si>
  <si>
    <t>$103.85</t>
  </si>
  <si>
    <t>$9.44</t>
  </si>
  <si>
    <t>CA-2024-10541</t>
  </si>
  <si>
    <t>CG-4838</t>
  </si>
  <si>
    <t>PROD-508</t>
  </si>
  <si>
    <t>$35.13</t>
  </si>
  <si>
    <t>$7.34</t>
  </si>
  <si>
    <t>CA-2024-10303</t>
  </si>
  <si>
    <t>CG-7852</t>
  </si>
  <si>
    <t>PROD-974</t>
  </si>
  <si>
    <t>Furnishings Product 4</t>
  </si>
  <si>
    <t>$151.12</t>
  </si>
  <si>
    <t>$26.59</t>
  </si>
  <si>
    <t>CA-2024-10572</t>
  </si>
  <si>
    <t>CG-6373</t>
  </si>
  <si>
    <t>PROD-619</t>
  </si>
  <si>
    <t>Binders Product 8</t>
  </si>
  <si>
    <t>$99.89</t>
  </si>
  <si>
    <t>$21.43</t>
  </si>
  <si>
    <t>CA-2024-10421</t>
  </si>
  <si>
    <t>CG-4777</t>
  </si>
  <si>
    <t>PROD-724</t>
  </si>
  <si>
    <t>$40.14</t>
  </si>
  <si>
    <t>$5.42</t>
  </si>
  <si>
    <t>CA-2024-10548</t>
  </si>
  <si>
    <t>CG-8971</t>
  </si>
  <si>
    <t>$112.90</t>
  </si>
  <si>
    <t>$8.54</t>
  </si>
  <si>
    <t>CA-2024-10056</t>
  </si>
  <si>
    <t>CG-6954</t>
  </si>
  <si>
    <t>PROD-860</t>
  </si>
  <si>
    <t>$164.80</t>
  </si>
  <si>
    <t>-$12.36</t>
  </si>
  <si>
    <t>CA-2024-10077</t>
  </si>
  <si>
    <t>CG-1038</t>
  </si>
  <si>
    <t>PROD-896</t>
  </si>
  <si>
    <t>$138.92</t>
  </si>
  <si>
    <t>-$3.14</t>
  </si>
  <si>
    <t>CA-2024-10579</t>
  </si>
  <si>
    <t>CG-1789</t>
  </si>
  <si>
    <t>PROD-364</t>
  </si>
  <si>
    <t>$64.75</t>
  </si>
  <si>
    <t>CA-2024-10333</t>
  </si>
  <si>
    <t>CG-1544</t>
  </si>
  <si>
    <t>PROD-204</t>
  </si>
  <si>
    <t>Phones Product 8</t>
  </si>
  <si>
    <t>$145.70</t>
  </si>
  <si>
    <t>$26.94</t>
  </si>
  <si>
    <t>CA-2024-10009</t>
  </si>
  <si>
    <t>CG-6535</t>
  </si>
  <si>
    <t>Copiers Product 24</t>
  </si>
  <si>
    <t>$214.26</t>
  </si>
  <si>
    <t>$66.48</t>
  </si>
  <si>
    <t>CA-2024-10448</t>
  </si>
  <si>
    <t>CG-1941</t>
  </si>
  <si>
    <t>PROD-834</t>
  </si>
  <si>
    <t>$112.25</t>
  </si>
  <si>
    <t>$17.54</t>
  </si>
  <si>
    <t>CA-2024-10023</t>
  </si>
  <si>
    <t>CG-9967</t>
  </si>
  <si>
    <t>$118.07</t>
  </si>
  <si>
    <t>$26.34</t>
  </si>
  <si>
    <t>CA-2024-10051</t>
  </si>
  <si>
    <t>CG-7024</t>
  </si>
  <si>
    <t>PROD-396</t>
  </si>
  <si>
    <t>$38.92</t>
  </si>
  <si>
    <t>$1.80</t>
  </si>
  <si>
    <t>CA-2024-10063</t>
  </si>
  <si>
    <t>CG-2252</t>
  </si>
  <si>
    <t>PROD-577</t>
  </si>
  <si>
    <t>$178.77</t>
  </si>
  <si>
    <t>$24.28</t>
  </si>
  <si>
    <t>CA-2024-10531</t>
  </si>
  <si>
    <t>CG-4705</t>
  </si>
  <si>
    <t>$50.45</t>
  </si>
  <si>
    <t>$11.05</t>
  </si>
  <si>
    <t>CA-2024-10097</t>
  </si>
  <si>
    <t>CG-5445</t>
  </si>
  <si>
    <t>Labels Product 7</t>
  </si>
  <si>
    <t>$165.75</t>
  </si>
  <si>
    <t>$4.11</t>
  </si>
  <si>
    <t>CA-2024-10266</t>
  </si>
  <si>
    <t>CG-9872</t>
  </si>
  <si>
    <t>Bookcases Product 2</t>
  </si>
  <si>
    <t>$314.86</t>
  </si>
  <si>
    <t>$51.67</t>
  </si>
  <si>
    <t>CA-2024-10299</t>
  </si>
  <si>
    <t>CG-7146</t>
  </si>
  <si>
    <t>PROD-215</t>
  </si>
  <si>
    <t>$39.20</t>
  </si>
  <si>
    <t>-$1.89</t>
  </si>
  <si>
    <t>CA-2024-10590</t>
  </si>
  <si>
    <t>CG-7048</t>
  </si>
  <si>
    <t>PROD-454</t>
  </si>
  <si>
    <t>$45.30</t>
  </si>
  <si>
    <t>$7.02</t>
  </si>
  <si>
    <t>CA-2024-10439</t>
  </si>
  <si>
    <t>CG-1349</t>
  </si>
  <si>
    <t>PROD-815</t>
  </si>
  <si>
    <t>$182.86</t>
  </si>
  <si>
    <t>-$14.12</t>
  </si>
  <si>
    <t>CA-2024-10073</t>
  </si>
  <si>
    <t>CG-3139</t>
  </si>
  <si>
    <t>$455.27</t>
  </si>
  <si>
    <t>$20.93</t>
  </si>
  <si>
    <t>CA-2024-10096</t>
  </si>
  <si>
    <t>CG-1140</t>
  </si>
  <si>
    <t>PROD-433</t>
  </si>
  <si>
    <t>$51.84</t>
  </si>
  <si>
    <t>$9.60</t>
  </si>
  <si>
    <t>CA-2024-10065</t>
  </si>
  <si>
    <t>CG-8124</t>
  </si>
  <si>
    <t>Copiers Product 15</t>
  </si>
  <si>
    <t>$171.53</t>
  </si>
  <si>
    <t>$45.06</t>
  </si>
  <si>
    <t>CA-2024-10460</t>
  </si>
  <si>
    <t>CG-6329</t>
  </si>
  <si>
    <t>PROD-172</t>
  </si>
  <si>
    <t>$1.01</t>
  </si>
  <si>
    <t>CA-2024-10449</t>
  </si>
  <si>
    <t>CG-2543</t>
  </si>
  <si>
    <t>$187.66</t>
  </si>
  <si>
    <t>$31.53</t>
  </si>
  <si>
    <t>CA-2024-10128</t>
  </si>
  <si>
    <t>CG-8896</t>
  </si>
  <si>
    <t>PROD-912</t>
  </si>
  <si>
    <t>$276.51</t>
  </si>
  <si>
    <t>$8.66</t>
  </si>
  <si>
    <t>CA-2024-10151</t>
  </si>
  <si>
    <t>CG-5020</t>
  </si>
  <si>
    <t>PROD-287</t>
  </si>
  <si>
    <t>$68.39</t>
  </si>
  <si>
    <t>$4.70</t>
  </si>
  <si>
    <t>CA-2024-10364</t>
  </si>
  <si>
    <t>CG-1066</t>
  </si>
  <si>
    <t>PROD-677</t>
  </si>
  <si>
    <t>$80.71</t>
  </si>
  <si>
    <t>$0.28</t>
  </si>
  <si>
    <t>CA-2024-10455</t>
  </si>
  <si>
    <t>CG-2019</t>
  </si>
  <si>
    <t>$426.46</t>
  </si>
  <si>
    <t>$34.16</t>
  </si>
  <si>
    <t>CA-2024-10260</t>
  </si>
  <si>
    <t>CG-1287</t>
  </si>
  <si>
    <t>PROD-983</t>
  </si>
  <si>
    <t>Accessories Product 10</t>
  </si>
  <si>
    <t>$237.38</t>
  </si>
  <si>
    <t>$38.95</t>
  </si>
  <si>
    <t>CA-2024-10055</t>
  </si>
  <si>
    <t>CG-7645</t>
  </si>
  <si>
    <t>PROD-321</t>
  </si>
  <si>
    <t>$462.27</t>
  </si>
  <si>
    <t>$112.57</t>
  </si>
  <si>
    <t>CA-2024-10116</t>
  </si>
  <si>
    <t>CG-9561</t>
  </si>
  <si>
    <t>$128.61</t>
  </si>
  <si>
    <t>$23.11</t>
  </si>
  <si>
    <t>CA-2024-10359</t>
  </si>
  <si>
    <t>CG-2986</t>
  </si>
  <si>
    <t>PROD-309</t>
  </si>
  <si>
    <t>Paper Product 30</t>
  </si>
  <si>
    <t>$27.50</t>
  </si>
  <si>
    <t>$5.48</t>
  </si>
  <si>
    <t>CA-2024-10021</t>
  </si>
  <si>
    <t>CG-8421</t>
  </si>
  <si>
    <t>-$11.57</t>
  </si>
  <si>
    <t>CA-2024-10256</t>
  </si>
  <si>
    <t>CG-2827</t>
  </si>
  <si>
    <t>Customer 8</t>
  </si>
  <si>
    <t>Bookcases Product 16</t>
  </si>
  <si>
    <t>$304.43</t>
  </si>
  <si>
    <t>$32.27</t>
  </si>
  <si>
    <t>CA-2024-10133</t>
  </si>
  <si>
    <t>CG-7744</t>
  </si>
  <si>
    <t>$234.74</t>
  </si>
  <si>
    <t>$39.12</t>
  </si>
  <si>
    <t>CA-2024-10019</t>
  </si>
  <si>
    <t>CG-6177</t>
  </si>
  <si>
    <t>PROD-216</t>
  </si>
  <si>
    <t>Chairs Product 30</t>
  </si>
  <si>
    <t>$312.46</t>
  </si>
  <si>
    <t>$43.80</t>
  </si>
  <si>
    <t>CA-2024-10048</t>
  </si>
  <si>
    <t>CG-9669</t>
  </si>
  <si>
    <t>PROD-510</t>
  </si>
  <si>
    <t>$263.02</t>
  </si>
  <si>
    <t>$52.06</t>
  </si>
  <si>
    <t>CA-2024-10204</t>
  </si>
  <si>
    <t>PROD-160</t>
  </si>
  <si>
    <t>$63.27</t>
  </si>
  <si>
    <t>$3.87</t>
  </si>
  <si>
    <t>CA-2024-10025</t>
  </si>
  <si>
    <t>CG-1728</t>
  </si>
  <si>
    <t>PROD-118</t>
  </si>
  <si>
    <t>Copiers Product 17</t>
  </si>
  <si>
    <t>$121.45</t>
  </si>
  <si>
    <t>$32.25</t>
  </si>
  <si>
    <t>CA-2024-10332</t>
  </si>
  <si>
    <t>CG-5452</t>
  </si>
  <si>
    <t>Bookcases Product 12</t>
  </si>
  <si>
    <t>$167.78</t>
  </si>
  <si>
    <t>$25.56</t>
  </si>
  <si>
    <t>CA-2024-10275</t>
  </si>
  <si>
    <t>CG-9693</t>
  </si>
  <si>
    <t>$43.55</t>
  </si>
  <si>
    <t>$5.35</t>
  </si>
  <si>
    <t>CA-2024-10459</t>
  </si>
  <si>
    <t>CG-4960</t>
  </si>
  <si>
    <t>$348.86</t>
  </si>
  <si>
    <t>$81.30</t>
  </si>
  <si>
    <t>CA-2024-10007</t>
  </si>
  <si>
    <t>CG-7776</t>
  </si>
  <si>
    <t>PROD-358</t>
  </si>
  <si>
    <t>Furnishings Product 7</t>
  </si>
  <si>
    <t>$107.82</t>
  </si>
  <si>
    <t>$7.38</t>
  </si>
  <si>
    <t>CA-2024-10131</t>
  </si>
  <si>
    <t>CG-2537</t>
  </si>
  <si>
    <t>PROD-941</t>
  </si>
  <si>
    <t>$75.36</t>
  </si>
  <si>
    <t>$3.49</t>
  </si>
  <si>
    <t>CA-2024-10179</t>
  </si>
  <si>
    <t>CG-2296</t>
  </si>
  <si>
    <t>$78.98</t>
  </si>
  <si>
    <t>-$1.34</t>
  </si>
  <si>
    <t>CA-2024-10560</t>
  </si>
  <si>
    <t>CG-1802</t>
  </si>
  <si>
    <t>PROD-865</t>
  </si>
  <si>
    <t>$146.08</t>
  </si>
  <si>
    <t>$6.49</t>
  </si>
  <si>
    <t>CA-2024-10392</t>
  </si>
  <si>
    <t>CG-5532</t>
  </si>
  <si>
    <t>$74.92</t>
  </si>
  <si>
    <t>$6.69</t>
  </si>
  <si>
    <t>CA-2024-10196</t>
  </si>
  <si>
    <t>CG-4554</t>
  </si>
  <si>
    <t>$64.95</t>
  </si>
  <si>
    <t>$17.99</t>
  </si>
  <si>
    <t>CA-2024-10037</t>
  </si>
  <si>
    <t>CG-6569</t>
  </si>
  <si>
    <t>PROD-142</t>
  </si>
  <si>
    <t>Phones Product 16</t>
  </si>
  <si>
    <t>$502.50</t>
  </si>
  <si>
    <t>$146.11</t>
  </si>
  <si>
    <t>CA-2024-10236</t>
  </si>
  <si>
    <t>CG-4303</t>
  </si>
  <si>
    <t>Binders Product 11</t>
  </si>
  <si>
    <t>$55.03</t>
  </si>
  <si>
    <t>$9.77</t>
  </si>
  <si>
    <t>CA-2024-10003</t>
  </si>
  <si>
    <t>CG-8869</t>
  </si>
  <si>
    <t>PROD-819</t>
  </si>
  <si>
    <t>$105.04</t>
  </si>
  <si>
    <t>$13.68</t>
  </si>
  <si>
    <t>CA-2024-10563</t>
  </si>
  <si>
    <t>CG-2415</t>
  </si>
  <si>
    <t>$95.08</t>
  </si>
  <si>
    <t>$10.18</t>
  </si>
  <si>
    <t>CA-2024-10402</t>
  </si>
  <si>
    <t>CG-7035</t>
  </si>
  <si>
    <t>PROD-479</t>
  </si>
  <si>
    <t>Machines Product 11</t>
  </si>
  <si>
    <t>$187.43</t>
  </si>
  <si>
    <t>-$11.56</t>
  </si>
  <si>
    <t>CA-2024-10166</t>
  </si>
  <si>
    <t>CG-4167</t>
  </si>
  <si>
    <t>PROD-442</t>
  </si>
  <si>
    <t>$39.26</t>
  </si>
  <si>
    <t>$10.08</t>
  </si>
  <si>
    <t>CA-2024-10170</t>
  </si>
  <si>
    <t>CG-9353</t>
  </si>
  <si>
    <t>Paper Product 7</t>
  </si>
  <si>
    <t>$5.29</t>
  </si>
  <si>
    <t>CA-2024-10228</t>
  </si>
  <si>
    <t>CG-2289</t>
  </si>
  <si>
    <t>$80.21</t>
  </si>
  <si>
    <t>CA-2024-10545</t>
  </si>
  <si>
    <t>CG-9448</t>
  </si>
  <si>
    <t>Machines Product 1</t>
  </si>
  <si>
    <t>$306.95</t>
  </si>
  <si>
    <t>-$20.58</t>
  </si>
  <si>
    <t>CA-2024-10122</t>
  </si>
  <si>
    <t>CG-2828</t>
  </si>
  <si>
    <t>PROD-970</t>
  </si>
  <si>
    <t>$590.17</t>
  </si>
  <si>
    <t>$28.76</t>
  </si>
  <si>
    <t>CA-2024-10165</t>
  </si>
  <si>
    <t>CG-3307</t>
  </si>
  <si>
    <t>$77.20</t>
  </si>
  <si>
    <t>$14.17</t>
  </si>
  <si>
    <t>CA-2024-10588</t>
  </si>
  <si>
    <t>Art Product 24</t>
  </si>
  <si>
    <t>$77.79</t>
  </si>
  <si>
    <t>$9.24</t>
  </si>
  <si>
    <t>CA-2024-10280</t>
  </si>
  <si>
    <t>CG-6673</t>
  </si>
  <si>
    <t>Envelopes Product 27</t>
  </si>
  <si>
    <t>$139.59</t>
  </si>
  <si>
    <t>$36.93</t>
  </si>
  <si>
    <t>CA-2024-10361</t>
  </si>
  <si>
    <t>CG-9186</t>
  </si>
  <si>
    <t>$1.12</t>
  </si>
  <si>
    <t>CA-2024-10580</t>
  </si>
  <si>
    <t>CG-9031</t>
  </si>
  <si>
    <t>-$16.35</t>
  </si>
  <si>
    <t>CA-2024-10586</t>
  </si>
  <si>
    <t>CG-7000</t>
  </si>
  <si>
    <t>PROD-452</t>
  </si>
  <si>
    <t>Paper Product 4</t>
  </si>
  <si>
    <t>$180.54</t>
  </si>
  <si>
    <t>$34.27</t>
  </si>
  <si>
    <t>CA-2024-10368</t>
  </si>
  <si>
    <t>CG-6795</t>
  </si>
  <si>
    <t>$183.75</t>
  </si>
  <si>
    <t>-$22.32</t>
  </si>
  <si>
    <t>CA-2024-10501</t>
  </si>
  <si>
    <t>CG-3892</t>
  </si>
  <si>
    <t>PROD-968</t>
  </si>
  <si>
    <t>$114.59</t>
  </si>
  <si>
    <t>-$18.24</t>
  </si>
  <si>
    <t>CA-2024-10565</t>
  </si>
  <si>
    <t>CG-2446</t>
  </si>
  <si>
    <t>$62.64</t>
  </si>
  <si>
    <t>$0.08</t>
  </si>
  <si>
    <t>CA-2024-10486</t>
  </si>
  <si>
    <t>CG-4773</t>
  </si>
  <si>
    <t>PROD-959</t>
  </si>
  <si>
    <t>$243.78</t>
  </si>
  <si>
    <t>$3.19</t>
  </si>
  <si>
    <t>CA-2024-10027</t>
  </si>
  <si>
    <t>CG-8056</t>
  </si>
  <si>
    <t>Accessories Product 8</t>
  </si>
  <si>
    <t>$111.23</t>
  </si>
  <si>
    <t>-$5.56</t>
  </si>
  <si>
    <t>CA-2024-10068</t>
  </si>
  <si>
    <t>CG-2165</t>
  </si>
  <si>
    <t>$42.29</t>
  </si>
  <si>
    <t>$9.13</t>
  </si>
  <si>
    <t>CA-2024-10277</t>
  </si>
  <si>
    <t>CG-3646</t>
  </si>
  <si>
    <t>$171.33</t>
  </si>
  <si>
    <t>$14.55</t>
  </si>
  <si>
    <t>CA-2024-10075</t>
  </si>
  <si>
    <t>CG-2435</t>
  </si>
  <si>
    <t>$46.30</t>
  </si>
  <si>
    <t>-$7.42</t>
  </si>
  <si>
    <t>CA-2024-10221</t>
  </si>
  <si>
    <t>CG-4539</t>
  </si>
  <si>
    <t>PROD-387</t>
  </si>
  <si>
    <t>$38.59</t>
  </si>
  <si>
    <t>-$4.23</t>
  </si>
  <si>
    <t>CA-2024-10318</t>
  </si>
  <si>
    <t>CG-3511</t>
  </si>
  <si>
    <t>$384.44</t>
  </si>
  <si>
    <t>$33.97</t>
  </si>
  <si>
    <t>CA-2024-10452</t>
  </si>
  <si>
    <t>CG-9593</t>
  </si>
  <si>
    <t>PROD-674</t>
  </si>
  <si>
    <t>$106.36</t>
  </si>
  <si>
    <t>CA-2024-10458</t>
  </si>
  <si>
    <t>CG-3720</t>
  </si>
  <si>
    <t>$162.45</t>
  </si>
  <si>
    <t>$15.89</t>
  </si>
  <si>
    <t>CA-2024-10429</t>
  </si>
  <si>
    <t>CG-5864</t>
  </si>
  <si>
    <t>$184.05</t>
  </si>
  <si>
    <t>$27.71</t>
  </si>
  <si>
    <t>CA-2024-10183</t>
  </si>
  <si>
    <t>CG-8423</t>
  </si>
  <si>
    <t>PROD-760</t>
  </si>
  <si>
    <t>$33.34</t>
  </si>
  <si>
    <t>$3.54</t>
  </si>
  <si>
    <t>CA-2024-10234</t>
  </si>
  <si>
    <t>CG-1721</t>
  </si>
  <si>
    <t>$98.49</t>
  </si>
  <si>
    <t>CA-2024-10109</t>
  </si>
  <si>
    <t>CG-6448</t>
  </si>
  <si>
    <t>PROD-179</t>
  </si>
  <si>
    <t>$237.58</t>
  </si>
  <si>
    <t>CA-2024-10483</t>
  </si>
  <si>
    <t>$777.54</t>
  </si>
  <si>
    <t>-$29.14</t>
  </si>
  <si>
    <t>CA-2024-10213</t>
  </si>
  <si>
    <t>CG-3854</t>
  </si>
  <si>
    <t>Furnishings Product 3</t>
  </si>
  <si>
    <t>$348.06</t>
  </si>
  <si>
    <t>$36.27</t>
  </si>
  <si>
    <t>CA-2024-10238</t>
  </si>
  <si>
    <t>CG-7320</t>
  </si>
  <si>
    <t>PROD-157</t>
  </si>
  <si>
    <t>$167.68</t>
  </si>
  <si>
    <t>-$17.40</t>
  </si>
  <si>
    <t>CA-2024-10335</t>
  </si>
  <si>
    <t>CG-8334</t>
  </si>
  <si>
    <t>$399.38</t>
  </si>
  <si>
    <t>-$19.62</t>
  </si>
  <si>
    <t>CA-2024-10471</t>
  </si>
  <si>
    <t>CG-6279</t>
  </si>
  <si>
    <t>PROD-440</t>
  </si>
  <si>
    <t>$94.93</t>
  </si>
  <si>
    <t>$14.93</t>
  </si>
  <si>
    <t>CA-2024-10229</t>
  </si>
  <si>
    <t>CG-7094</t>
  </si>
  <si>
    <t>PROD-778</t>
  </si>
  <si>
    <t>$78.50</t>
  </si>
  <si>
    <t>$6.02</t>
  </si>
  <si>
    <t>CA-2024-10477</t>
  </si>
  <si>
    <t>PROD-283</t>
  </si>
  <si>
    <t>$67.29</t>
  </si>
  <si>
    <t>$11.68</t>
  </si>
  <si>
    <t>CA-2024-10293</t>
  </si>
  <si>
    <t>CG-8533</t>
  </si>
  <si>
    <t>PROD-710</t>
  </si>
  <si>
    <t>$108.23</t>
  </si>
  <si>
    <t>$31.96</t>
  </si>
  <si>
    <t>Salesperson</t>
  </si>
  <si>
    <t>Territory</t>
  </si>
  <si>
    <t>Profit Margin %</t>
  </si>
  <si>
    <t>Order Value</t>
  </si>
  <si>
    <t>Year</t>
  </si>
  <si>
    <t>Month</t>
  </si>
  <si>
    <t>Performance</t>
  </si>
  <si>
    <t>Total Sales</t>
  </si>
  <si>
    <t>Total Profit</t>
  </si>
  <si>
    <t>Total Quantity</t>
  </si>
  <si>
    <t>Avg Order Value</t>
  </si>
  <si>
    <t>Aarav Sharma</t>
  </si>
  <si>
    <t>Ananya Singh</t>
  </si>
  <si>
    <t>Rohan Verma</t>
  </si>
  <si>
    <t>Priya Gupta</t>
  </si>
  <si>
    <t>Arjun Mehta</t>
  </si>
  <si>
    <t>Neha Kapoor</t>
  </si>
  <si>
    <t>Rahul Joshi</t>
  </si>
  <si>
    <t>Sneha Patel</t>
  </si>
  <si>
    <t>North</t>
  </si>
  <si>
    <t>Sales Rank</t>
  </si>
  <si>
    <t>Profit Rank</t>
  </si>
  <si>
    <t>Sales 2022</t>
  </si>
  <si>
    <t>Sales 2023</t>
  </si>
  <si>
    <t>Growth %</t>
  </si>
  <si>
    <t>SALESPERSON PERFORMANCE ANALYSIS</t>
  </si>
  <si>
    <t>TOTAL SALES</t>
  </si>
  <si>
    <t>TOTAL PROFIT</t>
  </si>
  <si>
    <t>PROFIT MARGIN</t>
  </si>
  <si>
    <t>TOTAL QUANTITY</t>
  </si>
  <si>
    <t>AVERAGE ORDER VALUE</t>
  </si>
  <si>
    <t>TOP SALESPERSON</t>
  </si>
  <si>
    <t>TOP PROFIT PERFORMER</t>
  </si>
  <si>
    <t>AVERAGE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</si>
</sst>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70" formatCode="_-[$$-409]* #,##0.00_ ;_-[$$-409]* \-#,##0.00\ ;_-[$$-409]* &quot;-&quot;??_ ;_-@_ "/>
    <numFmt numFmtId="173" formatCode="_-[$$-409]* #,##0.0_ ;_-[$$-409]* \-#,##0.0\ ;_-[$$-409]* &quot;-&quot;??_ ;_-@_ 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14" fontId="0" fillId="0" borderId="0" xfId="0" applyNumberFormat="1"/>
    <xf numFmtId="9" fontId="0" fillId="0" borderId="0" xfId="0" applyNumberFormat="1"/>
    <xf numFmtId="0" fontId="4" fillId="0" borderId="0" xfId="0" applyFont="1" applyAlignment="1">
      <alignment vertical="center"/>
    </xf>
    <xf numFmtId="9" fontId="0" fillId="0" borderId="0" xfId="2" applyFont="1"/>
    <xf numFmtId="170" fontId="4" fillId="0" borderId="0" xfId="2" applyNumberFormat="1" applyFont="1" applyAlignment="1">
      <alignment vertical="center"/>
    </xf>
    <xf numFmtId="170" fontId="0" fillId="0" borderId="0" xfId="2" applyNumberFormat="1" applyFont="1"/>
    <xf numFmtId="10" fontId="4" fillId="0" borderId="0" xfId="2" applyNumberFormat="1" applyFont="1" applyAlignment="1">
      <alignment vertical="center"/>
    </xf>
    <xf numFmtId="10" fontId="0" fillId="0" borderId="0" xfId="2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170" fontId="0" fillId="0" borderId="0" xfId="0" applyNumberFormat="1"/>
    <xf numFmtId="170" fontId="0" fillId="0" borderId="0" xfId="1" applyNumberFormat="1" applyFont="1"/>
    <xf numFmtId="0" fontId="5" fillId="0" borderId="0" xfId="0" applyFont="1" applyAlignment="1">
      <alignment vertical="center" wrapText="1"/>
    </xf>
    <xf numFmtId="170" fontId="5" fillId="0" borderId="0" xfId="0" applyNumberFormat="1" applyFont="1" applyAlignment="1">
      <alignment vertical="center" wrapText="1"/>
    </xf>
    <xf numFmtId="170" fontId="5" fillId="0" borderId="0" xfId="1" applyNumberFormat="1" applyFont="1" applyAlignment="1">
      <alignment vertical="center" wrapText="1"/>
    </xf>
    <xf numFmtId="9" fontId="5" fillId="0" borderId="0" xfId="2" applyFont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170" fontId="0" fillId="0" borderId="0" xfId="0" applyNumberFormat="1" applyFont="1" applyAlignment="1">
      <alignment horizontal="center" vertical="center" wrapText="1"/>
    </xf>
    <xf numFmtId="9" fontId="1" fillId="0" borderId="0" xfId="2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3" fillId="0" borderId="0" xfId="0" applyFont="1"/>
    <xf numFmtId="0" fontId="9" fillId="2" borderId="0" xfId="0" applyFont="1" applyFill="1" applyAlignment="1">
      <alignment horizontal="center"/>
    </xf>
    <xf numFmtId="173" fontId="1" fillId="0" borderId="0" xfId="1" applyNumberFormat="1" applyFont="1" applyAlignment="1">
      <alignment horizontal="center" vertical="center" wrapText="1"/>
    </xf>
    <xf numFmtId="0" fontId="9" fillId="3" borderId="0" xfId="0" applyFont="1" applyFill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170" fontId="10" fillId="5" borderId="3" xfId="0" applyNumberFormat="1" applyFont="1" applyFill="1" applyBorder="1" applyAlignment="1">
      <alignment horizontal="center"/>
    </xf>
    <xf numFmtId="170" fontId="10" fillId="5" borderId="4" xfId="0" applyNumberFormat="1" applyFont="1" applyFill="1" applyBorder="1" applyAlignment="1">
      <alignment horizontal="center"/>
    </xf>
    <xf numFmtId="170" fontId="10" fillId="5" borderId="5" xfId="0" applyNumberFormat="1" applyFont="1" applyFill="1" applyBorder="1" applyAlignment="1">
      <alignment horizontal="center"/>
    </xf>
    <xf numFmtId="170" fontId="10" fillId="5" borderId="3" xfId="1" applyNumberFormat="1" applyFont="1" applyFill="1" applyBorder="1" applyAlignment="1">
      <alignment horizontal="center"/>
    </xf>
    <xf numFmtId="170" fontId="10" fillId="5" borderId="4" xfId="1" applyNumberFormat="1" applyFont="1" applyFill="1" applyBorder="1" applyAlignment="1">
      <alignment horizontal="center"/>
    </xf>
    <xf numFmtId="170" fontId="10" fillId="5" borderId="5" xfId="1" applyNumberFormat="1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5" borderId="0" xfId="0" applyFont="1" applyFill="1" applyBorder="1" applyAlignment="1">
      <alignment horizontal="center"/>
    </xf>
    <xf numFmtId="9" fontId="10" fillId="5" borderId="2" xfId="2" applyFont="1" applyFill="1" applyBorder="1" applyAlignment="1">
      <alignment horizontal="center"/>
    </xf>
    <xf numFmtId="9" fontId="10" fillId="5" borderId="6" xfId="2" applyFont="1" applyFill="1" applyBorder="1" applyAlignment="1">
      <alignment horizontal="center"/>
    </xf>
    <xf numFmtId="9" fontId="10" fillId="5" borderId="1" xfId="2" applyFont="1" applyFill="1" applyBorder="1" applyAlignment="1">
      <alignment horizontal="center"/>
    </xf>
    <xf numFmtId="9" fontId="10" fillId="5" borderId="0" xfId="2" applyFont="1" applyFill="1" applyBorder="1" applyAlignment="1">
      <alignment horizontal="center"/>
    </xf>
    <xf numFmtId="9" fontId="10" fillId="5" borderId="9" xfId="2" applyFont="1" applyFill="1" applyBorder="1" applyAlignment="1">
      <alignment horizontal="center"/>
    </xf>
    <xf numFmtId="0" fontId="6" fillId="4" borderId="9" xfId="0" applyFont="1" applyFill="1" applyBorder="1" applyAlignment="1"/>
  </cellXfs>
  <cellStyles count="3">
    <cellStyle name="Currency" xfId="1" builtinId="4"/>
    <cellStyle name="Normal" xfId="0" builtinId="0"/>
    <cellStyle name="Percent" xfId="2" builtinId="5"/>
  </cellStyles>
  <dxfs count="32"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3" formatCode="_-[$$-409]* #,##0.0_ ;_-[$$-409]* \-#,##0.0\ ;_-[$$-409]* &quot;-&quot;??_ ;_-@_ 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_-[$$-409]* #,##0.00_ ;_-[$$-409]* \-#,##0.00\ ;_-[$$-409]* &quot;-&quot;??_ ;_-@_ "/>
      <alignment horizontal="center" vertical="center" textRotation="0" wrapText="1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</font>
      <numFmt numFmtId="0" formatCode="General"/>
      <alignment horizontal="center" textRotation="0" indent="0" justifyLastLine="0" shrinkToFit="0" readingOrder="0"/>
    </dxf>
    <dxf>
      <font>
        <b val="0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_-[$$-409]* #,##0.00_ ;_-[$$-409]* \-#,##0.00\ ;_-[$$-409]* &quot;-&quot;??_ ;_-@_ 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0" formatCode="General"/>
    </dxf>
    <dxf>
      <numFmt numFmtId="170" formatCode="_-[$$-409]* #,##0.00_ ;_-[$$-409]* \-#,##0.00\ ;_-[$$-409]* &quot;-&quot;??_ ;_-@_ 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9" formatCode="dd/mm/yyyy"/>
    </dxf>
    <dxf>
      <numFmt numFmtId="19" formatCode="dd/mm/yyyy"/>
    </dxf>
    <dxf>
      <numFmt numFmtId="13" formatCode="0%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Growth: 2022 vs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803149606299206E-2"/>
          <c:y val="0.20965405365995912"/>
          <c:w val="0.89040048118985138"/>
          <c:h val="0.604682487605715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Salesperson_Summary!$K$1</c:f>
              <c:strCache>
                <c:ptCount val="1"/>
                <c:pt idx="0">
                  <c:v>Sales 2022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Salesperson_Summary!$A$2:$A$9</c:f>
              <c:strCache>
                <c:ptCount val="8"/>
                <c:pt idx="0">
                  <c:v>Aarav Sharma</c:v>
                </c:pt>
                <c:pt idx="1">
                  <c:v>Ananya Singh</c:v>
                </c:pt>
                <c:pt idx="2">
                  <c:v>Rohan Verma</c:v>
                </c:pt>
                <c:pt idx="3">
                  <c:v>Priya Gupta</c:v>
                </c:pt>
                <c:pt idx="4">
                  <c:v>Arjun Mehta</c:v>
                </c:pt>
                <c:pt idx="5">
                  <c:v>Neha Kapoor</c:v>
                </c:pt>
                <c:pt idx="6">
                  <c:v>Rahul Joshi</c:v>
                </c:pt>
                <c:pt idx="7">
                  <c:v>Sneha Patel</c:v>
                </c:pt>
              </c:strCache>
            </c:strRef>
          </c:cat>
          <c:val>
            <c:numRef>
              <c:f>Salesperson_Summary!$K$2:$K$9</c:f>
              <c:numCache>
                <c:formatCode>General</c:formatCode>
                <c:ptCount val="8"/>
                <c:pt idx="0">
                  <c:v>3647.2200000000003</c:v>
                </c:pt>
                <c:pt idx="1">
                  <c:v>4675.2</c:v>
                </c:pt>
                <c:pt idx="2">
                  <c:v>5379.7800000000007</c:v>
                </c:pt>
                <c:pt idx="3">
                  <c:v>3124.2200000000003</c:v>
                </c:pt>
                <c:pt idx="4">
                  <c:v>5726.0599999999995</c:v>
                </c:pt>
                <c:pt idx="5">
                  <c:v>2382.0099999999998</c:v>
                </c:pt>
                <c:pt idx="6">
                  <c:v>3132.3199999999997</c:v>
                </c:pt>
                <c:pt idx="7">
                  <c:v>2962.4100000000008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A-42DC-9DBB-0CE5F42108FA}"/>
            </c:ext>
          </c:extLst>
        </c:ser>
        <c:ser>
          <c:idx val="1"/>
          <c:order val="1"/>
          <c:tx>
            <c:strRef>
              <c:f>Salesperson_Summary!$L$1</c:f>
              <c:strCache>
                <c:ptCount val="1"/>
                <c:pt idx="0">
                  <c:v>Sales 2023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Salesperson_Summary!$A$2:$A$9</c:f>
              <c:strCache>
                <c:ptCount val="8"/>
                <c:pt idx="0">
                  <c:v>Aarav Sharma</c:v>
                </c:pt>
                <c:pt idx="1">
                  <c:v>Ananya Singh</c:v>
                </c:pt>
                <c:pt idx="2">
                  <c:v>Rohan Verma</c:v>
                </c:pt>
                <c:pt idx="3">
                  <c:v>Priya Gupta</c:v>
                </c:pt>
                <c:pt idx="4">
                  <c:v>Arjun Mehta</c:v>
                </c:pt>
                <c:pt idx="5">
                  <c:v>Neha Kapoor</c:v>
                </c:pt>
                <c:pt idx="6">
                  <c:v>Rahul Joshi</c:v>
                </c:pt>
                <c:pt idx="7">
                  <c:v>Sneha Patel</c:v>
                </c:pt>
              </c:strCache>
            </c:strRef>
          </c:cat>
          <c:val>
            <c:numRef>
              <c:f>Salesperson_Summary!$L$2:$L$9</c:f>
              <c:numCache>
                <c:formatCode>General</c:formatCode>
                <c:ptCount val="8"/>
                <c:pt idx="0">
                  <c:v>4689.9599999999991</c:v>
                </c:pt>
                <c:pt idx="1">
                  <c:v>4719.1499999999996</c:v>
                </c:pt>
                <c:pt idx="2">
                  <c:v>3377.3999999999996</c:v>
                </c:pt>
                <c:pt idx="3">
                  <c:v>4290.7000000000007</c:v>
                </c:pt>
                <c:pt idx="4">
                  <c:v>2050.84</c:v>
                </c:pt>
                <c:pt idx="5">
                  <c:v>4414.63</c:v>
                </c:pt>
                <c:pt idx="6">
                  <c:v>3132.29</c:v>
                </c:pt>
                <c:pt idx="7">
                  <c:v>4672.3100000000004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AA-42DC-9DBB-0CE5F4210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49366256"/>
        <c:axId val="1565232080"/>
      </c:barChart>
      <c:catAx>
        <c:axId val="164936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232080"/>
        <c:crosses val="autoZero"/>
        <c:auto val="1"/>
        <c:lblAlgn val="ctr"/>
        <c:lblOffset val="100"/>
        <c:noMultiLvlLbl val="0"/>
      </c:catAx>
      <c:valAx>
        <c:axId val="156523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36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2387029746281715"/>
          <c:y val="5.3402960046660848E-2"/>
          <c:w val="0.1539074803149606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Sales Performance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286910290059895"/>
          <c:y val="0.18562005060595896"/>
          <c:w val="0.76978046974897352"/>
          <c:h val="0.607690101312787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Salesperson_Summary!$C$1</c:f>
              <c:strCache>
                <c:ptCount val="1"/>
                <c:pt idx="0">
                  <c:v> Total Sales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Salesperson_Summary!$A$2:$A$9</c:f>
              <c:strCache>
                <c:ptCount val="8"/>
                <c:pt idx="0">
                  <c:v>Aarav Sharma</c:v>
                </c:pt>
                <c:pt idx="1">
                  <c:v>Ananya Singh</c:v>
                </c:pt>
                <c:pt idx="2">
                  <c:v>Rohan Verma</c:v>
                </c:pt>
                <c:pt idx="3">
                  <c:v>Priya Gupta</c:v>
                </c:pt>
                <c:pt idx="4">
                  <c:v>Arjun Mehta</c:v>
                </c:pt>
                <c:pt idx="5">
                  <c:v>Neha Kapoor</c:v>
                </c:pt>
                <c:pt idx="6">
                  <c:v>Rahul Joshi</c:v>
                </c:pt>
                <c:pt idx="7">
                  <c:v>Sneha Patel</c:v>
                </c:pt>
              </c:strCache>
            </c:strRef>
          </c:cat>
          <c:val>
            <c:numRef>
              <c:f>Salesperson_Summary!$C$2:$C$9</c:f>
              <c:numCache>
                <c:formatCode>_-[$$-409]* #,##0.00_ ;_-[$$-409]* \-#,##0.00\ ;_-[$$-409]* "-"??_ ;_-@_ </c:formatCode>
                <c:ptCount val="8"/>
                <c:pt idx="0">
                  <c:v>13037.390000000003</c:v>
                </c:pt>
                <c:pt idx="1">
                  <c:v>12664.660000000002</c:v>
                </c:pt>
                <c:pt idx="2">
                  <c:v>12678.960000000006</c:v>
                </c:pt>
                <c:pt idx="3">
                  <c:v>12864.340000000004</c:v>
                </c:pt>
                <c:pt idx="4">
                  <c:v>10782.710000000003</c:v>
                </c:pt>
                <c:pt idx="5">
                  <c:v>11133.209999999995</c:v>
                </c:pt>
                <c:pt idx="6">
                  <c:v>10643.54</c:v>
                </c:pt>
                <c:pt idx="7">
                  <c:v>11368.280000000004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7-416E-A34C-B88A2F806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42942032"/>
        <c:axId val="1350042704"/>
      </c:barChart>
      <c:catAx>
        <c:axId val="154294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042704"/>
        <c:crosses val="autoZero"/>
        <c:auto val="1"/>
        <c:lblAlgn val="ctr"/>
        <c:lblOffset val="100"/>
        <c:noMultiLvlLbl val="0"/>
      </c:catAx>
      <c:valAx>
        <c:axId val="135004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94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/>
              <a:t>Profit Performance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2833660048405"/>
          <c:y val="0.19351977489820735"/>
          <c:w val="0.77324807653592298"/>
          <c:h val="0.687265594521459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Salesperson_Summary!$D$1</c:f>
              <c:strCache>
                <c:ptCount val="1"/>
                <c:pt idx="0">
                  <c:v> Total Profit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Salesperson_Summary!$A$2:$A$9</c:f>
              <c:strCache>
                <c:ptCount val="8"/>
                <c:pt idx="0">
                  <c:v>Aarav Sharma</c:v>
                </c:pt>
                <c:pt idx="1">
                  <c:v>Ananya Singh</c:v>
                </c:pt>
                <c:pt idx="2">
                  <c:v>Rohan Verma</c:v>
                </c:pt>
                <c:pt idx="3">
                  <c:v>Priya Gupta</c:v>
                </c:pt>
                <c:pt idx="4">
                  <c:v>Arjun Mehta</c:v>
                </c:pt>
                <c:pt idx="5">
                  <c:v>Neha Kapoor</c:v>
                </c:pt>
                <c:pt idx="6">
                  <c:v>Rahul Joshi</c:v>
                </c:pt>
                <c:pt idx="7">
                  <c:v>Sneha Patel</c:v>
                </c:pt>
              </c:strCache>
            </c:strRef>
          </c:cat>
          <c:val>
            <c:numRef>
              <c:f>Salesperson_Summary!$D$2:$D$9</c:f>
              <c:numCache>
                <c:formatCode>_-[$$-409]* #,##0.0_ ;_-[$$-409]* \-#,##0.0\ ;_-[$$-409]* "-"??_ ;_-@_ </c:formatCode>
                <c:ptCount val="8"/>
                <c:pt idx="0">
                  <c:v>1219.1200000000001</c:v>
                </c:pt>
                <c:pt idx="1">
                  <c:v>1147.9399999999996</c:v>
                </c:pt>
                <c:pt idx="2">
                  <c:v>996.67</c:v>
                </c:pt>
                <c:pt idx="3">
                  <c:v>1436.2499999999998</c:v>
                </c:pt>
                <c:pt idx="4">
                  <c:v>999.62999999999988</c:v>
                </c:pt>
                <c:pt idx="5">
                  <c:v>1296.5400000000006</c:v>
                </c:pt>
                <c:pt idx="6">
                  <c:v>670.23</c:v>
                </c:pt>
                <c:pt idx="7">
                  <c:v>802.89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1-4A82-95E7-B9D389C5F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62155376"/>
        <c:axId val="1565167760"/>
      </c:barChart>
      <c:catAx>
        <c:axId val="156215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167760"/>
        <c:crosses val="autoZero"/>
        <c:auto val="1"/>
        <c:lblAlgn val="ctr"/>
        <c:lblOffset val="100"/>
        <c:noMultiLvlLbl val="0"/>
      </c:catAx>
      <c:valAx>
        <c:axId val="156516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409]* #,##0.0_ ;_-[$$-409]* \-#,##0.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15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Growth: 2022 vs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619144793016329E-2"/>
          <c:y val="0.16497432736517073"/>
          <c:w val="0.89040048118985138"/>
          <c:h val="0.719047176433257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Salesperson_Summary!$K$1</c:f>
              <c:strCache>
                <c:ptCount val="1"/>
                <c:pt idx="0">
                  <c:v>Sales 2022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Salesperson_Summary!$A$2:$A$9</c:f>
              <c:strCache>
                <c:ptCount val="8"/>
                <c:pt idx="0">
                  <c:v>Aarav Sharma</c:v>
                </c:pt>
                <c:pt idx="1">
                  <c:v>Ananya Singh</c:v>
                </c:pt>
                <c:pt idx="2">
                  <c:v>Rohan Verma</c:v>
                </c:pt>
                <c:pt idx="3">
                  <c:v>Priya Gupta</c:v>
                </c:pt>
                <c:pt idx="4">
                  <c:v>Arjun Mehta</c:v>
                </c:pt>
                <c:pt idx="5">
                  <c:v>Neha Kapoor</c:v>
                </c:pt>
                <c:pt idx="6">
                  <c:v>Rahul Joshi</c:v>
                </c:pt>
                <c:pt idx="7">
                  <c:v>Sneha Patel</c:v>
                </c:pt>
              </c:strCache>
            </c:strRef>
          </c:cat>
          <c:val>
            <c:numRef>
              <c:f>Salesperson_Summary!$K$2:$K$9</c:f>
              <c:numCache>
                <c:formatCode>General</c:formatCode>
                <c:ptCount val="8"/>
                <c:pt idx="0">
                  <c:v>3647.2200000000003</c:v>
                </c:pt>
                <c:pt idx="1">
                  <c:v>4675.2</c:v>
                </c:pt>
                <c:pt idx="2">
                  <c:v>5379.7800000000007</c:v>
                </c:pt>
                <c:pt idx="3">
                  <c:v>3124.2200000000003</c:v>
                </c:pt>
                <c:pt idx="4">
                  <c:v>5726.0599999999995</c:v>
                </c:pt>
                <c:pt idx="5">
                  <c:v>2382.0099999999998</c:v>
                </c:pt>
                <c:pt idx="6">
                  <c:v>3132.3199999999997</c:v>
                </c:pt>
                <c:pt idx="7">
                  <c:v>2962.4100000000008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C-49BA-B7DC-08DC1D634342}"/>
            </c:ext>
          </c:extLst>
        </c:ser>
        <c:ser>
          <c:idx val="1"/>
          <c:order val="1"/>
          <c:tx>
            <c:strRef>
              <c:f>Salesperson_Summary!$L$1</c:f>
              <c:strCache>
                <c:ptCount val="1"/>
                <c:pt idx="0">
                  <c:v>Sales 2023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Salesperson_Summary!$A$2:$A$9</c:f>
              <c:strCache>
                <c:ptCount val="8"/>
                <c:pt idx="0">
                  <c:v>Aarav Sharma</c:v>
                </c:pt>
                <c:pt idx="1">
                  <c:v>Ananya Singh</c:v>
                </c:pt>
                <c:pt idx="2">
                  <c:v>Rohan Verma</c:v>
                </c:pt>
                <c:pt idx="3">
                  <c:v>Priya Gupta</c:v>
                </c:pt>
                <c:pt idx="4">
                  <c:v>Arjun Mehta</c:v>
                </c:pt>
                <c:pt idx="5">
                  <c:v>Neha Kapoor</c:v>
                </c:pt>
                <c:pt idx="6">
                  <c:v>Rahul Joshi</c:v>
                </c:pt>
                <c:pt idx="7">
                  <c:v>Sneha Patel</c:v>
                </c:pt>
              </c:strCache>
            </c:strRef>
          </c:cat>
          <c:val>
            <c:numRef>
              <c:f>Salesperson_Summary!$L$2:$L$9</c:f>
              <c:numCache>
                <c:formatCode>General</c:formatCode>
                <c:ptCount val="8"/>
                <c:pt idx="0">
                  <c:v>4689.9599999999991</c:v>
                </c:pt>
                <c:pt idx="1">
                  <c:v>4719.1499999999996</c:v>
                </c:pt>
                <c:pt idx="2">
                  <c:v>3377.3999999999996</c:v>
                </c:pt>
                <c:pt idx="3">
                  <c:v>4290.7000000000007</c:v>
                </c:pt>
                <c:pt idx="4">
                  <c:v>2050.84</c:v>
                </c:pt>
                <c:pt idx="5">
                  <c:v>4414.63</c:v>
                </c:pt>
                <c:pt idx="6">
                  <c:v>3132.29</c:v>
                </c:pt>
                <c:pt idx="7">
                  <c:v>4672.3100000000004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C-49BA-B7DC-08DC1D634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49366256"/>
        <c:axId val="1565232080"/>
      </c:barChart>
      <c:catAx>
        <c:axId val="164936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232080"/>
        <c:crosses val="autoZero"/>
        <c:auto val="1"/>
        <c:lblAlgn val="ctr"/>
        <c:lblOffset val="100"/>
        <c:noMultiLvlLbl val="0"/>
      </c:catAx>
      <c:valAx>
        <c:axId val="156523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36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4331474190726174"/>
          <c:y val="2.477034120734909E-3"/>
          <c:w val="0.1539074803149606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Territory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30314960629922"/>
          <c:y val="0.13673629337999416"/>
          <c:w val="0.83314129483814525"/>
          <c:h val="0.756234689413823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Territory_Summary!$B$1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Territory_Summary!$A$2:$A$5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Territory_Summary!$B$2:$B$5</c:f>
              <c:numCache>
                <c:formatCode>General</c:formatCode>
                <c:ptCount val="4"/>
                <c:pt idx="0" formatCode="0.00">
                  <c:v>23820.100000000006</c:v>
                </c:pt>
                <c:pt idx="1">
                  <c:v>23797.869999999995</c:v>
                </c:pt>
                <c:pt idx="2" formatCode="0.00">
                  <c:v>23322.500000000007</c:v>
                </c:pt>
                <c:pt idx="3">
                  <c:v>24232.62000000001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2-4EC6-A6A0-20CD68D6A2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59773280"/>
        <c:axId val="1565185040"/>
      </c:barChart>
      <c:catAx>
        <c:axId val="155977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185040"/>
        <c:crosses val="autoZero"/>
        <c:auto val="1"/>
        <c:lblAlgn val="ctr"/>
        <c:lblOffset val="100"/>
        <c:noMultiLvlLbl val="0"/>
      </c:catAx>
      <c:valAx>
        <c:axId val="156518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77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17</xdr:col>
      <xdr:colOff>158750</xdr:colOff>
      <xdr:row>13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2C6C80-C600-4F46-B635-10B7F2F9C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50298</xdr:colOff>
      <xdr:row>7</xdr:row>
      <xdr:rowOff>97119</xdr:rowOff>
    </xdr:from>
    <xdr:to>
      <xdr:col>6</xdr:col>
      <xdr:colOff>237067</xdr:colOff>
      <xdr:row>17</xdr:row>
      <xdr:rowOff>82177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9DFB29-5D80-487D-8279-03CF191D9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331196</xdr:colOff>
      <xdr:row>7</xdr:row>
      <xdr:rowOff>91641</xdr:rowOff>
    </xdr:from>
    <xdr:to>
      <xdr:col>14</xdr:col>
      <xdr:colOff>228600</xdr:colOff>
      <xdr:row>17</xdr:row>
      <xdr:rowOff>67734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F5BCD3-9112-4AD4-9573-0442D62E4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53790</xdr:colOff>
      <xdr:row>17</xdr:row>
      <xdr:rowOff>143933</xdr:rowOff>
    </xdr:from>
    <xdr:to>
      <xdr:col>8</xdr:col>
      <xdr:colOff>25401</xdr:colOff>
      <xdr:row>29</xdr:row>
      <xdr:rowOff>146923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B18D30-7047-4CFA-807B-D86FE9459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341155</xdr:colOff>
      <xdr:row>7</xdr:row>
      <xdr:rowOff>93632</xdr:rowOff>
    </xdr:from>
    <xdr:to>
      <xdr:col>19</xdr:col>
      <xdr:colOff>592667</xdr:colOff>
      <xdr:row>18</xdr:row>
      <xdr:rowOff>48808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DDA4B7-4179-4E54-95F0-24F14C709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177800</xdr:colOff>
      <xdr:row>18</xdr:row>
      <xdr:rowOff>101600</xdr:rowOff>
    </xdr:from>
    <xdr:to>
      <xdr:col>19</xdr:col>
      <xdr:colOff>550333</xdr:colOff>
      <xdr:row>29</xdr:row>
      <xdr:rowOff>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87388D1-188F-EAA0-7A41-48304587DC14}"/>
            </a:ext>
          </a:extLst>
        </xdr:cNvPr>
        <xdr:cNvSpPr/>
      </xdr:nvSpPr>
      <xdr:spPr>
        <a:xfrm>
          <a:off x="5054600" y="3793067"/>
          <a:ext cx="7078133" cy="19473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431800</xdr:colOff>
      <xdr:row>18</xdr:row>
      <xdr:rowOff>160865</xdr:rowOff>
    </xdr:from>
    <xdr:to>
      <xdr:col>19</xdr:col>
      <xdr:colOff>279400</xdr:colOff>
      <xdr:row>28</xdr:row>
      <xdr:rowOff>135466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8795C617-AB3B-AD57-B2DD-F21041633FF3}"/>
            </a:ext>
          </a:extLst>
        </xdr:cNvPr>
        <xdr:cNvSpPr txBox="1">
          <a:spLocks noChangeArrowheads="1"/>
        </xdr:cNvSpPr>
      </xdr:nvSpPr>
      <xdr:spPr bwMode="auto">
        <a:xfrm>
          <a:off x="5308600" y="3852332"/>
          <a:ext cx="6553200" cy="1837267"/>
        </a:xfrm>
        <a:prstGeom prst="rect">
          <a:avLst/>
        </a:prstGeom>
        <a:solidFill>
          <a:schemeClr val="accent1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IN" sz="2400" b="1" i="1" u="sng" strike="noStrike" baseline="0">
              <a:solidFill>
                <a:schemeClr val="bg1"/>
              </a:solidFill>
              <a:latin typeface="Aptos Narrow"/>
            </a:rPr>
            <a:t>KEY RECOMMENDATIONS</a:t>
          </a:r>
        </a:p>
        <a:p>
          <a:pPr algn="l" rtl="0">
            <a:defRPr sz="1000"/>
          </a:pPr>
          <a:endParaRPr lang="en-IN" sz="1100" b="0" i="0" u="none" strike="noStrike" baseline="0">
            <a:solidFill>
              <a:srgbClr val="000000"/>
            </a:solidFill>
            <a:latin typeface="Aptos Narrow"/>
          </a:endParaRPr>
        </a:p>
        <a:p>
          <a:pPr algn="l" rtl="0">
            <a:defRPr sz="1000"/>
          </a:pPr>
          <a:r>
            <a:rPr lang="en-IN" sz="1600" b="1" i="0" u="none" strike="noStrike" baseline="0">
              <a:solidFill>
                <a:schemeClr val="bg2"/>
              </a:solidFill>
              <a:latin typeface="Aptos Narrow"/>
            </a:rPr>
            <a:t>• Focus on improving profit margins for low-performing sales.</a:t>
          </a:r>
        </a:p>
        <a:p>
          <a:pPr algn="l" rtl="0">
            <a:defRPr sz="1000"/>
          </a:pPr>
          <a:r>
            <a:rPr lang="en-IN" sz="1600" b="1" i="0" u="none" strike="noStrike" baseline="0">
              <a:solidFill>
                <a:schemeClr val="bg2"/>
              </a:solidFill>
              <a:latin typeface="Aptos Narrow"/>
            </a:rPr>
            <a:t>• Replicate the strategies used by top-performing salespersons.</a:t>
          </a:r>
        </a:p>
        <a:p>
          <a:pPr algn="l" rtl="0">
            <a:defRPr sz="1000"/>
          </a:pPr>
          <a:r>
            <a:rPr lang="en-IN" sz="1600" b="1" i="0" u="none" strike="noStrike" baseline="0">
              <a:solidFill>
                <a:schemeClr val="bg2"/>
              </a:solidFill>
              <a:latin typeface="Aptos Narrow"/>
            </a:rPr>
            <a:t>• Strengthen sales performance across weaker territories.</a:t>
          </a:r>
        </a:p>
        <a:p>
          <a:pPr algn="l" rtl="0">
            <a:defRPr sz="1000"/>
          </a:pPr>
          <a:r>
            <a:rPr lang="en-IN" sz="1600" b="1" i="0" u="none" strike="noStrike" baseline="0">
              <a:solidFill>
                <a:schemeClr val="bg2"/>
              </a:solidFill>
              <a:latin typeface="Aptos Narrow"/>
            </a:rPr>
            <a:t>• Provide targeted support to salespersons with low growth.</a:t>
          </a:r>
        </a:p>
        <a:p>
          <a:pPr algn="l" rtl="0">
            <a:defRPr sz="1000"/>
          </a:pPr>
          <a:r>
            <a:rPr lang="en-IN" sz="1600" b="1" i="0" u="none" strike="noStrike" baseline="0">
              <a:solidFill>
                <a:schemeClr val="bg2"/>
              </a:solidFill>
              <a:latin typeface="Aptos Narrow"/>
            </a:rPr>
            <a:t>• Prioritize profitable products and customer segments for future sales</a:t>
          </a:r>
          <a:r>
            <a:rPr lang="en-IN" sz="1600" b="0" i="0" u="none" strike="noStrike" baseline="0">
              <a:solidFill>
                <a:srgbClr val="000000"/>
              </a:solidFill>
              <a:latin typeface="Aptos Narrow"/>
            </a:rPr>
            <a:t>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C3D316-03C6-4963-8F64-4B6E65D24783}" name="Table3" displayName="Table3" ref="A1:U601" totalsRowShown="0">
  <autoFilter ref="A1:U601" xr:uid="{95C3D316-03C6-4963-8F64-4B6E65D24783}"/>
  <tableColumns count="21">
    <tableColumn id="1" xr3:uid="{18B0C09C-AE7C-4C4D-87C7-772064787EA8}" name="Row ID"/>
    <tableColumn id="2" xr3:uid="{0777AC15-9E9F-465B-AB41-A6F93D9F53DB}" name="Order ID"/>
    <tableColumn id="3" xr3:uid="{A323CFF4-55E7-4851-857C-9BA45972ED3F}" name="Order Date" dataDxfId="31"/>
    <tableColumn id="4" xr3:uid="{8ECDEED9-3C7C-45E3-9D28-FA3D20D81B66}" name="Ship Date" dataDxfId="30"/>
    <tableColumn id="5" xr3:uid="{07FE7B4A-8222-4B2E-B9A2-0F5DFFF3879E}" name="Ship Mode"/>
    <tableColumn id="6" xr3:uid="{CBA684B4-00D7-41EB-BD43-4CACB3A7A337}" name="Customer ID"/>
    <tableColumn id="7" xr3:uid="{D60D6350-B8CA-4C62-8EDB-32898F33D952}" name="Customer Name"/>
    <tableColumn id="8" xr3:uid="{3620109A-86BB-47D6-B0C5-3CB9E3FF3617}" name="Segment"/>
    <tableColumn id="9" xr3:uid="{4F4EDC76-C789-47A7-8141-2FEC360AF6E3}" name="Country"/>
    <tableColumn id="10" xr3:uid="{BFB495AD-A881-4E4C-907C-8620FE25EBE2}" name="City"/>
    <tableColumn id="11" xr3:uid="{5C4751C9-382F-4A38-B069-9550406B3BB1}" name="State"/>
    <tableColumn id="12" xr3:uid="{90D46A9F-178D-488C-84D1-83872949808C}" name="Postal Code"/>
    <tableColumn id="13" xr3:uid="{E7351049-45C1-45BD-BA04-101D23000699}" name="Region"/>
    <tableColumn id="14" xr3:uid="{CC98E585-579B-42AE-8656-BA186A975B89}" name="Product ID"/>
    <tableColumn id="15" xr3:uid="{A286EC39-5484-4594-986E-CEB4B6ACB1CB}" name="Category"/>
    <tableColumn id="16" xr3:uid="{EEA79B31-B93D-43A9-9721-09B9531CC92C}" name="Sub-Category"/>
    <tableColumn id="17" xr3:uid="{9088B800-5F87-47BD-B571-6D00C72B99AD}" name="Product Name"/>
    <tableColumn id="18" xr3:uid="{BFD495BB-DF60-45FE-81F8-CE087BD8792D}" name="Sales"/>
    <tableColumn id="19" xr3:uid="{48385C00-7B81-4088-8DD6-138D2BB2E912}" name="Quantity"/>
    <tableColumn id="20" xr3:uid="{68C2B1F1-2102-490A-9C85-3D502EC5BFF4}" name="Discount" dataDxfId="29"/>
    <tableColumn id="21" xr3:uid="{1210EECF-B590-4AE9-A86D-A19812AD4184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03A86C-2CFF-4C99-B97C-1D3F13BC4683}" name="SalesData" displayName="SalesData" ref="A1:AB601" totalsRowShown="0">
  <autoFilter ref="A1:AB601" xr:uid="{F103A86C-2CFF-4C99-B97C-1D3F13BC4683}"/>
  <tableColumns count="28">
    <tableColumn id="1" xr3:uid="{712CBFF9-0629-4673-A724-C4383A83BFB6}" name="Row ID"/>
    <tableColumn id="2" xr3:uid="{15C69A57-5105-4B51-9765-A73ED8875F7B}" name="Order ID"/>
    <tableColumn id="3" xr3:uid="{7F98B0C6-3063-4E97-833A-6B942A43EB53}" name="Order Date" dataDxfId="28"/>
    <tableColumn id="4" xr3:uid="{2030E755-2C2F-4694-A791-7158FFF2B940}" name="Ship Date" dataDxfId="27"/>
    <tableColumn id="5" xr3:uid="{15F2405D-6856-42D0-92A7-07999EA1F87D}" name="Ship Mode"/>
    <tableColumn id="6" xr3:uid="{76251A88-18C3-4ED5-9FDF-0E775D04DF15}" name="Customer ID"/>
    <tableColumn id="7" xr3:uid="{ED08C8C7-11AC-45D9-A6FB-D363D207D5A1}" name="Customer Name"/>
    <tableColumn id="8" xr3:uid="{C1CD1A80-5465-4ED8-9CED-929DB5345C37}" name="Segment"/>
    <tableColumn id="9" xr3:uid="{BAC8956B-9D4D-476C-A145-B9F82852B569}" name="Country"/>
    <tableColumn id="10" xr3:uid="{8B6E2A81-EDF0-4188-B0E4-3C40D57D51C7}" name="City"/>
    <tableColumn id="11" xr3:uid="{918F3EDB-420F-4E73-B704-734335F1D27B}" name="State"/>
    <tableColumn id="12" xr3:uid="{85724BE4-DC47-4D4B-96C9-E0F8F52DD2B8}" name="Postal Code"/>
    <tableColumn id="13" xr3:uid="{5B88918C-4C5C-4566-A58D-E413EDB26DEB}" name="Region"/>
    <tableColumn id="14" xr3:uid="{3E59A6EE-87A0-4CBC-8835-53EB2D302001}" name="Product ID"/>
    <tableColumn id="15" xr3:uid="{AB4B72D8-02C6-4E33-9A50-AE8993F22D0D}" name="Category"/>
    <tableColumn id="16" xr3:uid="{C154C1A2-03CF-4A1B-AC73-319E316C77D9}" name="Sub-Category"/>
    <tableColumn id="17" xr3:uid="{01EE1A14-D15C-4824-86C7-D98553CD3DE2}" name="Product Name"/>
    <tableColumn id="18" xr3:uid="{859ABD11-C3F8-4D52-B93A-689FC81E286C}" name="Sales"/>
    <tableColumn id="19" xr3:uid="{6BA66B2D-7BCE-434A-8B37-47A0CE8679D4}" name="Quantity"/>
    <tableColumn id="20" xr3:uid="{2B24F1C1-D1C2-436B-825E-CBD008C7613A}" name="Discount" dataDxfId="26"/>
    <tableColumn id="21" xr3:uid="{3D109A2D-DE9C-4721-ACBD-988193976524}" name="Profit"/>
    <tableColumn id="22" xr3:uid="{5012D375-B126-446C-91B6-3D9CEB621AF9}" name="Salesperson" dataDxfId="25">
      <calculatedColumnFormula>CHOOSE(MOD(SalesData[[#This Row],[Row ID]]-1,8)+1,"Aarav Sharma","Ananya Singh","Rohan Verma","Priya Gupta","Arjun Mehta","Neha Kapoor","Rahul Joshi","Sneha Patel")</calculatedColumnFormula>
    </tableColumn>
    <tableColumn id="23" xr3:uid="{4CF3F5CC-453F-49CA-A360-BF8409C92B25}" name="Territory" dataDxfId="19">
      <calculatedColumnFormula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calculatedColumnFormula>
    </tableColumn>
    <tableColumn id="24" xr3:uid="{55B90405-43FF-4FAC-B4A8-F833E5132827}" name="Profit Margin %" dataDxfId="21" dataCellStyle="Percent">
      <calculatedColumnFormula>IFERROR(VALUE(SUBSTITUTE(SUBSTITUTE(SalesData[[#This Row],[Profit]],"$",""),",",""))/VALUE(SUBSTITUTE(SUBSTITUTE(SalesData[[#This Row],[Sales]],"$",""),",","")),0)</calculatedColumnFormula>
    </tableColumn>
    <tableColumn id="25" xr3:uid="{D47CA665-B806-4A40-9050-DD34B6C05D03}" name="Order Value" dataDxfId="20" dataCellStyle="Percent">
      <calculatedColumnFormula>IFERROR(VALUE(SUBSTITUTE(SUBSTITUTE(SalesData[[#This Row],[Sales]],"$",""),",",""))/SalesData[[#This Row],[Quantity]],0)</calculatedColumnFormula>
    </tableColumn>
    <tableColumn id="26" xr3:uid="{C5C72CA4-8A74-49A1-A1CD-212FA33D3321}" name="Year" dataDxfId="22">
      <calculatedColumnFormula>YEAR(SalesData[[#This Row],[Order Date]])</calculatedColumnFormula>
    </tableColumn>
    <tableColumn id="27" xr3:uid="{B844DB9B-5D07-4A9A-A6EF-47B720E6FC23}" name="Month" dataDxfId="24">
      <calculatedColumnFormula>TEXT(SalesData[[#This Row],[Order Date]],"mmm")</calculatedColumnFormula>
    </tableColumn>
    <tableColumn id="28" xr3:uid="{A452C2C2-B4FD-4F09-AEDD-9E1DB557BCE1}" name="Performance" dataDxfId="23">
      <calculatedColumnFormula>IF(AND(SalesData[[#This Row],[Profit Margin %]]&gt;=0.15,SalesData[[#This Row],[Profit]]&gt;0),"High Performer",IF(AND(SalesData[[#This Row],[Profit Margin %]]&gt;=0.05,SalesData[[#This Row],[Profit]]&gt;=0),"Average Performer","Needs Improvement"))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309DFE-10D5-40FC-B14D-DE7829BA80BC}" name="Table5" displayName="Table5" ref="A1:M9" totalsRowShown="0" headerRowDxfId="10" dataDxfId="18">
  <autoFilter ref="A1:M9" xr:uid="{CC309DFE-10D5-40FC-B14D-DE7829BA80BC}"/>
  <tableColumns count="13">
    <tableColumn id="1" xr3:uid="{D39E2843-2F92-45D3-A4F7-95ADEEFCAC97}" name="Salesperson" dataDxfId="17"/>
    <tableColumn id="2" xr3:uid="{38392E1E-1D25-435D-AE23-E029C6A06B2E}" name="Territory" dataDxfId="16"/>
    <tableColumn id="3" xr3:uid="{49F5073E-E349-4D4A-8C2E-65A034A6D04F}" name="Total Sales" dataDxfId="6">
      <calculatedColumnFormula array="1">SUMPRODUCT((SalesData[Salesperson]=A2)*SalesData[Order Value]*SalesData[Quantity])</calculatedColumnFormula>
    </tableColumn>
    <tableColumn id="4" xr3:uid="{035B981B-935C-4A9A-A765-97A0D5007C1C}" name="Total Profit" dataDxfId="4" dataCellStyle="Currency">
      <calculatedColumnFormula array="1">SUMPRODUCT((SalesData[Salesperson]=A2)*IFERROR(VALUE(SUBSTITUTE(SUBSTITUTE(SalesData[Profit],"$",""),",","")),0))</calculatedColumnFormula>
    </tableColumn>
    <tableColumn id="5" xr3:uid="{BE471644-DDDA-4DBF-885A-D053A04CC220}" name="Profit Margin %" dataDxfId="5" dataCellStyle="Percent">
      <calculatedColumnFormula>IFERROR(D2/C2,0)</calculatedColumnFormula>
    </tableColumn>
    <tableColumn id="6" xr3:uid="{84D97BE9-F580-47DB-9ECC-BB4A97E58C5A}" name="Total Quantity" dataDxfId="15">
      <calculatedColumnFormula>SUMIF(SalesData[Salesperson],A2,SalesData[Quantity])</calculatedColumnFormula>
    </tableColumn>
    <tableColumn id="7" xr3:uid="{B83FEEA8-D746-4540-8F38-E15B335F6504}" name="Avg Order Value" dataDxfId="14">
      <calculatedColumnFormula>IFERROR(C2/F2,0)</calculatedColumnFormula>
    </tableColumn>
    <tableColumn id="8" xr3:uid="{8E51EA81-E662-4BA5-88ED-ED5CE3D87CA9}" name="Performance" dataDxfId="13">
      <calculatedColumnFormula>IF(AND(E2&gt;=15%,D2&gt;0),"High Performer",IF(AND(E2&gt;=5%,D2&gt;=0),"Average Performer","Needs Improvement"))</calculatedColumnFormula>
    </tableColumn>
    <tableColumn id="9" xr3:uid="{6C482AE9-FA3A-4576-8D2C-70E2CA987A2B}" name="Sales Rank" dataDxfId="12">
      <calculatedColumnFormula>_xlfn.RANK.EQ(C2,$C$2:$C$9,0)</calculatedColumnFormula>
    </tableColumn>
    <tableColumn id="10" xr3:uid="{1E85DF76-CC7D-49AD-BC7E-6032C9275927}" name="Profit Rank" dataDxfId="11">
      <calculatedColumnFormula>_xlfn.RANK.EQ(D2,$D$2:$D$9,0)</calculatedColumnFormula>
    </tableColumn>
    <tableColumn id="11" xr3:uid="{DD5B1B8D-D454-4AE9-92FB-81AA0A99172F}" name="Sales 2022" dataDxfId="9">
      <calculatedColumnFormula array="1">SUMPRODUCT((SalesData[Salesperson]=A2)*(SalesData[Year]=2022)*SalesData[Order Value]*SalesData[Quantity])</calculatedColumnFormula>
    </tableColumn>
    <tableColumn id="12" xr3:uid="{FD5FD301-0A2E-4BB8-B5E2-F656454AF9B3}" name="Sales 2023" dataDxfId="8">
      <calculatedColumnFormula array="1">SUMPRODUCT((SalesData[Salesperson]=A2)*(SalesData[Year]=2023)*SalesData[Order Value]*SalesData[Quantity])</calculatedColumnFormula>
    </tableColumn>
    <tableColumn id="13" xr3:uid="{E81C3ECF-7091-42DD-8E89-52280D30A7A1}" name="Growth %" dataDxfId="7">
      <calculatedColumnFormula>IFERROR((L2-K2)/K2,0)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F6B9F4-6580-4E30-98BC-693C65CE0A57}" name="Table6" displayName="Table6" ref="A1:B5" totalsRowShown="0" headerRowDxfId="3" dataDxfId="0">
  <autoFilter ref="A1:B5" xr:uid="{14F6B9F4-6580-4E30-98BC-693C65CE0A57}"/>
  <tableColumns count="2">
    <tableColumn id="1" xr3:uid="{6864E775-E5AF-4F8B-9391-C28AFB5A5F9F}" name="Territory" dataDxfId="2"/>
    <tableColumn id="2" xr3:uid="{956E1FCE-79B2-4898-B9F8-CD0F6CC15159}" name="Total Sales" dataDxfId="1">
      <calculatedColumnFormula>SUMIF(Salesperson_Summary!B$2:B$9,A2,Salesperson_Summary!C$2:C$9)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41AC0-452A-4F22-A85E-ECD3584BF0F8}">
  <dimension ref="A1:U601"/>
  <sheetViews>
    <sheetView workbookViewId="0">
      <selection sqref="A1:U601"/>
    </sheetView>
  </sheetViews>
  <sheetFormatPr defaultRowHeight="14.5"/>
  <cols>
    <col min="1" max="1" width="8.54296875" customWidth="1"/>
    <col min="2" max="2" width="13.54296875" bestFit="1" customWidth="1"/>
    <col min="3" max="3" width="11.7265625" customWidth="1"/>
    <col min="4" max="4" width="10.90625" customWidth="1"/>
    <col min="5" max="5" width="13.08984375" bestFit="1" customWidth="1"/>
    <col min="6" max="6" width="13.1796875" customWidth="1"/>
    <col min="7" max="7" width="16.26953125" customWidth="1"/>
    <col min="8" max="8" width="10.90625" bestFit="1" customWidth="1"/>
    <col min="9" max="9" width="11.7265625" bestFit="1" customWidth="1"/>
    <col min="10" max="11" width="12.1796875" bestFit="1" customWidth="1"/>
    <col min="12" max="12" width="12.7265625" customWidth="1"/>
    <col min="13" max="13" width="8.54296875" customWidth="1"/>
    <col min="14" max="14" width="11.54296875" customWidth="1"/>
    <col min="15" max="15" width="13" bestFit="1" customWidth="1"/>
    <col min="16" max="16" width="14.08984375" customWidth="1"/>
    <col min="17" max="17" width="20" bestFit="1" customWidth="1"/>
    <col min="18" max="18" width="7.36328125" bestFit="1" customWidth="1"/>
    <col min="19" max="19" width="10" customWidth="1"/>
    <col min="20" max="20" width="10.36328125" customWidth="1"/>
    <col min="21" max="21" width="7.363281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519</v>
      </c>
      <c r="B2" t="s">
        <v>21</v>
      </c>
      <c r="C2" s="1">
        <v>44562</v>
      </c>
      <c r="D2" s="1">
        <v>44565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>
        <v>64176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1</v>
      </c>
      <c r="T2" s="2">
        <v>0.05</v>
      </c>
      <c r="U2" t="s">
        <v>34</v>
      </c>
    </row>
    <row r="3" spans="1:21">
      <c r="A3">
        <v>350</v>
      </c>
      <c r="B3" t="s">
        <v>35</v>
      </c>
      <c r="C3" s="1">
        <v>44562</v>
      </c>
      <c r="D3" s="1">
        <v>44566</v>
      </c>
      <c r="E3" t="s">
        <v>36</v>
      </c>
      <c r="F3" t="s">
        <v>37</v>
      </c>
      <c r="G3" t="s">
        <v>38</v>
      </c>
      <c r="H3" t="s">
        <v>39</v>
      </c>
      <c r="I3" t="s">
        <v>26</v>
      </c>
      <c r="J3" t="s">
        <v>40</v>
      </c>
      <c r="K3" t="s">
        <v>40</v>
      </c>
      <c r="L3">
        <v>43085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>
        <v>2</v>
      </c>
      <c r="T3" s="2">
        <v>0.3</v>
      </c>
      <c r="U3" t="s">
        <v>47</v>
      </c>
    </row>
    <row r="4" spans="1:21">
      <c r="A4">
        <v>149</v>
      </c>
      <c r="B4" t="s">
        <v>48</v>
      </c>
      <c r="C4" s="1">
        <v>44562</v>
      </c>
      <c r="D4" s="1">
        <v>44565</v>
      </c>
      <c r="E4" t="s">
        <v>49</v>
      </c>
      <c r="F4" t="s">
        <v>50</v>
      </c>
      <c r="G4" t="s">
        <v>51</v>
      </c>
      <c r="H4" t="s">
        <v>39</v>
      </c>
      <c r="I4" t="s">
        <v>26</v>
      </c>
      <c r="J4" t="s">
        <v>52</v>
      </c>
      <c r="K4" t="s">
        <v>52</v>
      </c>
      <c r="L4">
        <v>62893</v>
      </c>
      <c r="M4" t="s">
        <v>41</v>
      </c>
      <c r="N4" t="s">
        <v>53</v>
      </c>
      <c r="O4" t="s">
        <v>43</v>
      </c>
      <c r="P4" t="s">
        <v>44</v>
      </c>
      <c r="Q4" t="s">
        <v>54</v>
      </c>
      <c r="R4" t="s">
        <v>55</v>
      </c>
      <c r="S4">
        <v>7</v>
      </c>
      <c r="T4" s="2">
        <v>0.4</v>
      </c>
      <c r="U4" t="s">
        <v>56</v>
      </c>
    </row>
    <row r="5" spans="1:21">
      <c r="A5">
        <v>13</v>
      </c>
      <c r="B5" t="s">
        <v>57</v>
      </c>
      <c r="C5" s="1">
        <v>44563</v>
      </c>
      <c r="D5" s="1">
        <v>44569</v>
      </c>
      <c r="E5" t="s">
        <v>36</v>
      </c>
      <c r="F5" t="s">
        <v>58</v>
      </c>
      <c r="G5" t="s">
        <v>59</v>
      </c>
      <c r="H5" t="s">
        <v>60</v>
      </c>
      <c r="I5" t="s">
        <v>26</v>
      </c>
      <c r="J5" t="s">
        <v>61</v>
      </c>
      <c r="K5" t="s">
        <v>61</v>
      </c>
      <c r="L5">
        <v>71267</v>
      </c>
      <c r="M5" t="s">
        <v>62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  <c r="S5">
        <v>3</v>
      </c>
      <c r="T5" s="2">
        <v>0.3</v>
      </c>
      <c r="U5" t="s">
        <v>68</v>
      </c>
    </row>
    <row r="6" spans="1:21">
      <c r="A6">
        <v>179</v>
      </c>
      <c r="B6" t="s">
        <v>69</v>
      </c>
      <c r="C6" s="1">
        <v>44564</v>
      </c>
      <c r="D6" s="1">
        <v>44566</v>
      </c>
      <c r="E6" t="s">
        <v>22</v>
      </c>
      <c r="F6" t="s">
        <v>70</v>
      </c>
      <c r="G6" t="s">
        <v>71</v>
      </c>
      <c r="H6" t="s">
        <v>25</v>
      </c>
      <c r="I6" t="s">
        <v>26</v>
      </c>
      <c r="J6" t="s">
        <v>72</v>
      </c>
      <c r="K6" t="s">
        <v>72</v>
      </c>
      <c r="L6">
        <v>83402</v>
      </c>
      <c r="M6" t="s">
        <v>73</v>
      </c>
      <c r="N6" t="s">
        <v>74</v>
      </c>
      <c r="O6" t="s">
        <v>43</v>
      </c>
      <c r="P6" t="s">
        <v>44</v>
      </c>
      <c r="Q6" t="s">
        <v>75</v>
      </c>
      <c r="R6" t="s">
        <v>76</v>
      </c>
      <c r="S6">
        <v>3</v>
      </c>
      <c r="T6" s="2">
        <v>0.1</v>
      </c>
      <c r="U6" t="s">
        <v>77</v>
      </c>
    </row>
    <row r="7" spans="1:21">
      <c r="A7">
        <v>48</v>
      </c>
      <c r="B7" t="s">
        <v>78</v>
      </c>
      <c r="C7" s="1">
        <v>44566</v>
      </c>
      <c r="D7" s="1">
        <v>44568</v>
      </c>
      <c r="E7" t="s">
        <v>49</v>
      </c>
      <c r="F7" t="s">
        <v>79</v>
      </c>
      <c r="G7" t="s">
        <v>80</v>
      </c>
      <c r="H7" t="s">
        <v>25</v>
      </c>
      <c r="I7" t="s">
        <v>26</v>
      </c>
      <c r="J7" t="s">
        <v>81</v>
      </c>
      <c r="K7" t="s">
        <v>81</v>
      </c>
      <c r="L7">
        <v>28574</v>
      </c>
      <c r="M7" t="s">
        <v>62</v>
      </c>
      <c r="N7" t="s">
        <v>82</v>
      </c>
      <c r="O7" t="s">
        <v>43</v>
      </c>
      <c r="P7" t="s">
        <v>83</v>
      </c>
      <c r="Q7" t="s">
        <v>84</v>
      </c>
      <c r="R7" t="s">
        <v>85</v>
      </c>
      <c r="S7">
        <v>7</v>
      </c>
      <c r="T7" s="2">
        <v>0.2</v>
      </c>
      <c r="U7" t="s">
        <v>86</v>
      </c>
    </row>
    <row r="8" spans="1:21">
      <c r="A8">
        <v>175</v>
      </c>
      <c r="B8" t="s">
        <v>87</v>
      </c>
      <c r="C8" s="1">
        <v>44573</v>
      </c>
      <c r="D8" s="1">
        <v>44574</v>
      </c>
      <c r="E8" t="s">
        <v>22</v>
      </c>
      <c r="F8" t="s">
        <v>88</v>
      </c>
      <c r="G8" t="s">
        <v>59</v>
      </c>
      <c r="H8" t="s">
        <v>60</v>
      </c>
      <c r="I8" t="s">
        <v>26</v>
      </c>
      <c r="J8" t="s">
        <v>52</v>
      </c>
      <c r="K8" t="s">
        <v>52</v>
      </c>
      <c r="L8">
        <v>12204</v>
      </c>
      <c r="M8" t="s">
        <v>41</v>
      </c>
      <c r="N8" t="s">
        <v>89</v>
      </c>
      <c r="O8" t="s">
        <v>43</v>
      </c>
      <c r="P8" t="s">
        <v>44</v>
      </c>
      <c r="Q8" t="s">
        <v>90</v>
      </c>
      <c r="R8" t="s">
        <v>91</v>
      </c>
      <c r="S8">
        <v>1</v>
      </c>
      <c r="T8" s="2">
        <v>0.2</v>
      </c>
      <c r="U8" t="s">
        <v>92</v>
      </c>
    </row>
    <row r="9" spans="1:21">
      <c r="A9">
        <v>541</v>
      </c>
      <c r="B9" t="s">
        <v>93</v>
      </c>
      <c r="C9" s="1">
        <v>44575</v>
      </c>
      <c r="D9" s="1">
        <v>44578</v>
      </c>
      <c r="E9" t="s">
        <v>36</v>
      </c>
      <c r="F9" t="s">
        <v>94</v>
      </c>
      <c r="G9" t="s">
        <v>95</v>
      </c>
      <c r="H9" t="s">
        <v>25</v>
      </c>
      <c r="I9" t="s">
        <v>26</v>
      </c>
      <c r="J9" t="s">
        <v>96</v>
      </c>
      <c r="K9" t="s">
        <v>96</v>
      </c>
      <c r="L9">
        <v>91147</v>
      </c>
      <c r="M9" t="s">
        <v>28</v>
      </c>
      <c r="N9" t="s">
        <v>97</v>
      </c>
      <c r="O9" t="s">
        <v>64</v>
      </c>
      <c r="P9" t="s">
        <v>65</v>
      </c>
      <c r="Q9" t="s">
        <v>98</v>
      </c>
      <c r="R9" t="s">
        <v>99</v>
      </c>
      <c r="S9">
        <v>7</v>
      </c>
      <c r="T9" s="2">
        <v>0.3</v>
      </c>
      <c r="U9" t="s">
        <v>100</v>
      </c>
    </row>
    <row r="10" spans="1:21">
      <c r="A10">
        <v>88</v>
      </c>
      <c r="B10" t="s">
        <v>101</v>
      </c>
      <c r="C10" s="1">
        <v>44582</v>
      </c>
      <c r="D10" s="1">
        <v>44586</v>
      </c>
      <c r="E10" t="s">
        <v>36</v>
      </c>
      <c r="F10" t="s">
        <v>102</v>
      </c>
      <c r="G10" t="s">
        <v>103</v>
      </c>
      <c r="H10" t="s">
        <v>60</v>
      </c>
      <c r="I10" t="s">
        <v>26</v>
      </c>
      <c r="J10" t="s">
        <v>40</v>
      </c>
      <c r="K10" t="s">
        <v>40</v>
      </c>
      <c r="L10">
        <v>80135</v>
      </c>
      <c r="M10" t="s">
        <v>41</v>
      </c>
      <c r="N10" t="s">
        <v>104</v>
      </c>
      <c r="O10" t="s">
        <v>64</v>
      </c>
      <c r="P10" t="s">
        <v>105</v>
      </c>
      <c r="Q10" t="s">
        <v>106</v>
      </c>
      <c r="R10" t="s">
        <v>107</v>
      </c>
      <c r="S10">
        <v>6</v>
      </c>
      <c r="T10" s="2">
        <v>0.15</v>
      </c>
      <c r="U10" t="s">
        <v>108</v>
      </c>
    </row>
    <row r="11" spans="1:21">
      <c r="A11">
        <v>477</v>
      </c>
      <c r="B11" t="s">
        <v>109</v>
      </c>
      <c r="C11" s="1">
        <v>44584</v>
      </c>
      <c r="D11" s="1">
        <v>44587</v>
      </c>
      <c r="E11" t="s">
        <v>36</v>
      </c>
      <c r="F11" t="s">
        <v>110</v>
      </c>
      <c r="G11" t="s">
        <v>111</v>
      </c>
      <c r="H11" t="s">
        <v>25</v>
      </c>
      <c r="I11" t="s">
        <v>26</v>
      </c>
      <c r="J11" t="s">
        <v>61</v>
      </c>
      <c r="K11" t="s">
        <v>61</v>
      </c>
      <c r="L11">
        <v>67395</v>
      </c>
      <c r="M11" t="s">
        <v>62</v>
      </c>
      <c r="N11" t="s">
        <v>112</v>
      </c>
      <c r="O11" t="s">
        <v>43</v>
      </c>
      <c r="P11" t="s">
        <v>83</v>
      </c>
      <c r="Q11" t="s">
        <v>113</v>
      </c>
      <c r="R11" t="s">
        <v>114</v>
      </c>
      <c r="S11">
        <v>4</v>
      </c>
      <c r="T11" s="2">
        <v>0.15</v>
      </c>
      <c r="U11" t="s">
        <v>115</v>
      </c>
    </row>
    <row r="12" spans="1:21">
      <c r="A12">
        <v>163</v>
      </c>
      <c r="B12" t="s">
        <v>116</v>
      </c>
      <c r="C12" s="1">
        <v>44586</v>
      </c>
      <c r="D12" s="1">
        <v>44590</v>
      </c>
      <c r="E12" t="s">
        <v>49</v>
      </c>
      <c r="F12" t="s">
        <v>117</v>
      </c>
      <c r="G12" t="s">
        <v>118</v>
      </c>
      <c r="H12" t="s">
        <v>60</v>
      </c>
      <c r="I12" t="s">
        <v>26</v>
      </c>
      <c r="J12" t="s">
        <v>52</v>
      </c>
      <c r="K12" t="s">
        <v>52</v>
      </c>
      <c r="L12">
        <v>18605</v>
      </c>
      <c r="M12" t="s">
        <v>41</v>
      </c>
      <c r="N12" t="s">
        <v>119</v>
      </c>
      <c r="O12" t="s">
        <v>30</v>
      </c>
      <c r="P12" t="s">
        <v>120</v>
      </c>
      <c r="Q12" t="s">
        <v>121</v>
      </c>
      <c r="R12" t="s">
        <v>122</v>
      </c>
      <c r="S12">
        <v>4</v>
      </c>
      <c r="T12" s="2">
        <v>0.2</v>
      </c>
      <c r="U12" t="s">
        <v>123</v>
      </c>
    </row>
    <row r="13" spans="1:21">
      <c r="A13">
        <v>433</v>
      </c>
      <c r="B13" t="s">
        <v>124</v>
      </c>
      <c r="C13" s="1">
        <v>44587</v>
      </c>
      <c r="D13" s="1">
        <v>44591</v>
      </c>
      <c r="E13" t="s">
        <v>36</v>
      </c>
      <c r="F13" t="s">
        <v>125</v>
      </c>
      <c r="G13" t="s">
        <v>126</v>
      </c>
      <c r="H13" t="s">
        <v>25</v>
      </c>
      <c r="I13" t="s">
        <v>26</v>
      </c>
      <c r="J13" t="s">
        <v>27</v>
      </c>
      <c r="K13" t="s">
        <v>27</v>
      </c>
      <c r="L13">
        <v>44815</v>
      </c>
      <c r="M13" t="s">
        <v>28</v>
      </c>
      <c r="N13" t="s">
        <v>127</v>
      </c>
      <c r="O13" t="s">
        <v>43</v>
      </c>
      <c r="P13" t="s">
        <v>128</v>
      </c>
      <c r="Q13" t="s">
        <v>129</v>
      </c>
      <c r="R13" t="s">
        <v>130</v>
      </c>
      <c r="S13">
        <v>6</v>
      </c>
      <c r="T13" s="2">
        <v>0.15</v>
      </c>
      <c r="U13" t="s">
        <v>131</v>
      </c>
    </row>
    <row r="14" spans="1:21">
      <c r="A14">
        <v>62</v>
      </c>
      <c r="B14" t="s">
        <v>132</v>
      </c>
      <c r="C14" s="1">
        <v>44588</v>
      </c>
      <c r="D14" s="1">
        <v>44593</v>
      </c>
      <c r="E14" t="s">
        <v>49</v>
      </c>
      <c r="F14" t="s">
        <v>133</v>
      </c>
      <c r="G14" t="s">
        <v>134</v>
      </c>
      <c r="H14" t="s">
        <v>39</v>
      </c>
      <c r="I14" t="s">
        <v>26</v>
      </c>
      <c r="J14" t="s">
        <v>81</v>
      </c>
      <c r="K14" t="s">
        <v>81</v>
      </c>
      <c r="L14">
        <v>71120</v>
      </c>
      <c r="M14" t="s">
        <v>62</v>
      </c>
      <c r="N14" t="s">
        <v>135</v>
      </c>
      <c r="O14" t="s">
        <v>64</v>
      </c>
      <c r="P14" t="s">
        <v>136</v>
      </c>
      <c r="Q14" t="s">
        <v>137</v>
      </c>
      <c r="R14" t="s">
        <v>138</v>
      </c>
      <c r="S14">
        <v>2</v>
      </c>
      <c r="T14" s="2">
        <v>0.15</v>
      </c>
      <c r="U14" t="s">
        <v>139</v>
      </c>
    </row>
    <row r="15" spans="1:21">
      <c r="A15">
        <v>255</v>
      </c>
      <c r="B15" t="s">
        <v>140</v>
      </c>
      <c r="C15" s="1">
        <v>44591</v>
      </c>
      <c r="D15" s="1">
        <v>44595</v>
      </c>
      <c r="E15" t="s">
        <v>49</v>
      </c>
      <c r="F15" t="s">
        <v>141</v>
      </c>
      <c r="G15" t="s">
        <v>142</v>
      </c>
      <c r="H15" t="s">
        <v>25</v>
      </c>
      <c r="I15" t="s">
        <v>26</v>
      </c>
      <c r="J15" t="s">
        <v>81</v>
      </c>
      <c r="K15" t="s">
        <v>81</v>
      </c>
      <c r="L15">
        <v>60772</v>
      </c>
      <c r="M15" t="s">
        <v>62</v>
      </c>
      <c r="N15" t="s">
        <v>143</v>
      </c>
      <c r="O15" t="s">
        <v>30</v>
      </c>
      <c r="P15" t="s">
        <v>120</v>
      </c>
      <c r="Q15" t="s">
        <v>144</v>
      </c>
      <c r="R15" t="s">
        <v>145</v>
      </c>
      <c r="S15">
        <v>2</v>
      </c>
      <c r="T15" s="2">
        <v>0.1</v>
      </c>
      <c r="U15" t="s">
        <v>146</v>
      </c>
    </row>
    <row r="16" spans="1:21">
      <c r="A16">
        <v>387</v>
      </c>
      <c r="B16" t="s">
        <v>147</v>
      </c>
      <c r="C16" s="1">
        <v>44592</v>
      </c>
      <c r="D16" s="1">
        <v>44595</v>
      </c>
      <c r="E16" t="s">
        <v>36</v>
      </c>
      <c r="F16" t="s">
        <v>148</v>
      </c>
      <c r="G16" t="s">
        <v>149</v>
      </c>
      <c r="H16" t="s">
        <v>25</v>
      </c>
      <c r="I16" t="s">
        <v>26</v>
      </c>
      <c r="J16" t="s">
        <v>150</v>
      </c>
      <c r="K16" t="s">
        <v>150</v>
      </c>
      <c r="L16">
        <v>85761</v>
      </c>
      <c r="M16" t="s">
        <v>73</v>
      </c>
      <c r="N16" t="s">
        <v>151</v>
      </c>
      <c r="O16" t="s">
        <v>30</v>
      </c>
      <c r="P16" t="s">
        <v>31</v>
      </c>
      <c r="Q16" t="s">
        <v>32</v>
      </c>
      <c r="R16" t="s">
        <v>152</v>
      </c>
      <c r="S16">
        <v>5</v>
      </c>
      <c r="T16" s="2">
        <v>0.4</v>
      </c>
      <c r="U16" t="s">
        <v>153</v>
      </c>
    </row>
    <row r="17" spans="1:21">
      <c r="A17">
        <v>543</v>
      </c>
      <c r="B17" t="s">
        <v>154</v>
      </c>
      <c r="C17" s="1">
        <v>44593</v>
      </c>
      <c r="D17" s="1">
        <v>44599</v>
      </c>
      <c r="E17" t="s">
        <v>49</v>
      </c>
      <c r="F17" t="s">
        <v>155</v>
      </c>
      <c r="G17" t="s">
        <v>156</v>
      </c>
      <c r="H17" t="s">
        <v>25</v>
      </c>
      <c r="I17" t="s">
        <v>26</v>
      </c>
      <c r="J17" t="s">
        <v>157</v>
      </c>
      <c r="K17" t="s">
        <v>157</v>
      </c>
      <c r="L17">
        <v>32703</v>
      </c>
      <c r="M17" t="s">
        <v>62</v>
      </c>
      <c r="N17" t="s">
        <v>158</v>
      </c>
      <c r="O17" t="s">
        <v>30</v>
      </c>
      <c r="P17" t="s">
        <v>120</v>
      </c>
      <c r="Q17" t="s">
        <v>159</v>
      </c>
      <c r="R17" t="s">
        <v>160</v>
      </c>
      <c r="S17">
        <v>5</v>
      </c>
      <c r="T17" s="2">
        <v>0.15</v>
      </c>
      <c r="U17" t="s">
        <v>161</v>
      </c>
    </row>
    <row r="18" spans="1:21">
      <c r="A18">
        <v>43</v>
      </c>
      <c r="B18" t="s">
        <v>162</v>
      </c>
      <c r="C18" s="1">
        <v>44595</v>
      </c>
      <c r="D18" s="1">
        <v>44598</v>
      </c>
      <c r="E18" t="s">
        <v>36</v>
      </c>
      <c r="F18" t="s">
        <v>163</v>
      </c>
      <c r="G18" t="s">
        <v>164</v>
      </c>
      <c r="H18" t="s">
        <v>25</v>
      </c>
      <c r="I18" t="s">
        <v>26</v>
      </c>
      <c r="J18" t="s">
        <v>27</v>
      </c>
      <c r="K18" t="s">
        <v>27</v>
      </c>
      <c r="L18">
        <v>11605</v>
      </c>
      <c r="M18" t="s">
        <v>28</v>
      </c>
      <c r="N18" t="s">
        <v>165</v>
      </c>
      <c r="O18" t="s">
        <v>43</v>
      </c>
      <c r="P18" t="s">
        <v>166</v>
      </c>
      <c r="Q18" t="s">
        <v>167</v>
      </c>
      <c r="R18" t="s">
        <v>168</v>
      </c>
      <c r="S18">
        <v>2</v>
      </c>
      <c r="T18" s="2">
        <v>0.05</v>
      </c>
      <c r="U18" t="s">
        <v>169</v>
      </c>
    </row>
    <row r="19" spans="1:21">
      <c r="A19">
        <v>408</v>
      </c>
      <c r="B19" t="s">
        <v>170</v>
      </c>
      <c r="C19" s="1">
        <v>44599</v>
      </c>
      <c r="D19" s="1">
        <v>44602</v>
      </c>
      <c r="E19" t="s">
        <v>49</v>
      </c>
      <c r="F19" t="s">
        <v>171</v>
      </c>
      <c r="G19" t="s">
        <v>172</v>
      </c>
      <c r="H19" t="s">
        <v>39</v>
      </c>
      <c r="I19" t="s">
        <v>26</v>
      </c>
      <c r="J19" t="s">
        <v>173</v>
      </c>
      <c r="K19" t="s">
        <v>173</v>
      </c>
      <c r="L19">
        <v>93641</v>
      </c>
      <c r="M19" t="s">
        <v>73</v>
      </c>
      <c r="N19" t="s">
        <v>174</v>
      </c>
      <c r="O19" t="s">
        <v>43</v>
      </c>
      <c r="P19" t="s">
        <v>128</v>
      </c>
      <c r="Q19" t="s">
        <v>175</v>
      </c>
      <c r="R19" t="s">
        <v>176</v>
      </c>
      <c r="S19">
        <v>5</v>
      </c>
      <c r="T19" s="2">
        <v>0.1</v>
      </c>
      <c r="U19" t="s">
        <v>177</v>
      </c>
    </row>
    <row r="20" spans="1:21">
      <c r="A20">
        <v>201</v>
      </c>
      <c r="B20" t="s">
        <v>178</v>
      </c>
      <c r="C20" s="1">
        <v>44600</v>
      </c>
      <c r="D20" s="1">
        <v>44602</v>
      </c>
      <c r="E20" t="s">
        <v>36</v>
      </c>
      <c r="F20" t="s">
        <v>179</v>
      </c>
      <c r="G20" t="s">
        <v>180</v>
      </c>
      <c r="H20" t="s">
        <v>25</v>
      </c>
      <c r="I20" t="s">
        <v>26</v>
      </c>
      <c r="J20" t="s">
        <v>52</v>
      </c>
      <c r="K20" t="s">
        <v>52</v>
      </c>
      <c r="L20">
        <v>93104</v>
      </c>
      <c r="M20" t="s">
        <v>41</v>
      </c>
      <c r="N20" t="s">
        <v>181</v>
      </c>
      <c r="O20" t="s">
        <v>30</v>
      </c>
      <c r="P20" t="s">
        <v>120</v>
      </c>
      <c r="Q20" t="s">
        <v>182</v>
      </c>
      <c r="R20" t="s">
        <v>183</v>
      </c>
      <c r="S20">
        <v>3</v>
      </c>
      <c r="T20" s="2">
        <v>0.05</v>
      </c>
      <c r="U20" t="s">
        <v>184</v>
      </c>
    </row>
    <row r="21" spans="1:21">
      <c r="A21">
        <v>413</v>
      </c>
      <c r="B21" t="s">
        <v>185</v>
      </c>
      <c r="C21" s="1">
        <v>44608</v>
      </c>
      <c r="D21" s="1">
        <v>44611</v>
      </c>
      <c r="E21" t="s">
        <v>36</v>
      </c>
      <c r="F21" t="s">
        <v>186</v>
      </c>
      <c r="G21" t="s">
        <v>187</v>
      </c>
      <c r="H21" t="s">
        <v>39</v>
      </c>
      <c r="I21" t="s">
        <v>26</v>
      </c>
      <c r="J21" t="s">
        <v>81</v>
      </c>
      <c r="K21" t="s">
        <v>81</v>
      </c>
      <c r="L21">
        <v>71082</v>
      </c>
      <c r="M21" t="s">
        <v>62</v>
      </c>
      <c r="N21" t="s">
        <v>188</v>
      </c>
      <c r="O21" t="s">
        <v>43</v>
      </c>
      <c r="P21" t="s">
        <v>189</v>
      </c>
      <c r="Q21" t="s">
        <v>190</v>
      </c>
      <c r="R21" t="s">
        <v>191</v>
      </c>
      <c r="S21">
        <v>1</v>
      </c>
      <c r="T21" s="2">
        <v>0.2</v>
      </c>
      <c r="U21" t="s">
        <v>192</v>
      </c>
    </row>
    <row r="22" spans="1:21">
      <c r="A22">
        <v>293</v>
      </c>
      <c r="B22" t="s">
        <v>193</v>
      </c>
      <c r="C22" s="1">
        <v>44609</v>
      </c>
      <c r="D22" s="1">
        <v>44611</v>
      </c>
      <c r="E22" t="s">
        <v>36</v>
      </c>
      <c r="F22" t="s">
        <v>194</v>
      </c>
      <c r="G22" t="s">
        <v>195</v>
      </c>
      <c r="H22" t="s">
        <v>39</v>
      </c>
      <c r="I22" t="s">
        <v>26</v>
      </c>
      <c r="J22" t="s">
        <v>40</v>
      </c>
      <c r="K22" t="s">
        <v>40</v>
      </c>
      <c r="L22">
        <v>37856</v>
      </c>
      <c r="M22" t="s">
        <v>41</v>
      </c>
      <c r="N22" t="s">
        <v>196</v>
      </c>
      <c r="O22" t="s">
        <v>30</v>
      </c>
      <c r="P22" t="s">
        <v>197</v>
      </c>
      <c r="Q22" t="s">
        <v>198</v>
      </c>
      <c r="R22" t="s">
        <v>199</v>
      </c>
      <c r="S22">
        <v>1</v>
      </c>
      <c r="T22" s="2">
        <v>0.1</v>
      </c>
      <c r="U22" t="s">
        <v>200</v>
      </c>
    </row>
    <row r="23" spans="1:21">
      <c r="A23">
        <v>128</v>
      </c>
      <c r="B23" t="s">
        <v>201</v>
      </c>
      <c r="C23" s="1">
        <v>44610</v>
      </c>
      <c r="D23" s="1">
        <v>44613</v>
      </c>
      <c r="E23" t="s">
        <v>36</v>
      </c>
      <c r="F23" t="s">
        <v>202</v>
      </c>
      <c r="G23" t="s">
        <v>203</v>
      </c>
      <c r="H23" t="s">
        <v>39</v>
      </c>
      <c r="I23" t="s">
        <v>26</v>
      </c>
      <c r="J23" t="s">
        <v>204</v>
      </c>
      <c r="K23" t="s">
        <v>204</v>
      </c>
      <c r="L23">
        <v>17710</v>
      </c>
      <c r="M23" t="s">
        <v>28</v>
      </c>
      <c r="N23" t="s">
        <v>205</v>
      </c>
      <c r="O23" t="s">
        <v>43</v>
      </c>
      <c r="P23" t="s">
        <v>189</v>
      </c>
      <c r="Q23" t="s">
        <v>206</v>
      </c>
      <c r="R23" t="s">
        <v>207</v>
      </c>
      <c r="S23">
        <v>1</v>
      </c>
      <c r="T23" s="2">
        <v>0</v>
      </c>
      <c r="U23" t="s">
        <v>208</v>
      </c>
    </row>
    <row r="24" spans="1:21">
      <c r="A24">
        <v>381</v>
      </c>
      <c r="B24" t="s">
        <v>209</v>
      </c>
      <c r="C24" s="1">
        <v>44611</v>
      </c>
      <c r="D24" s="1">
        <v>44614</v>
      </c>
      <c r="E24" t="s">
        <v>36</v>
      </c>
      <c r="F24" t="s">
        <v>210</v>
      </c>
      <c r="G24" t="s">
        <v>211</v>
      </c>
      <c r="H24" t="s">
        <v>25</v>
      </c>
      <c r="I24" t="s">
        <v>26</v>
      </c>
      <c r="J24" t="s">
        <v>212</v>
      </c>
      <c r="K24" t="s">
        <v>212</v>
      </c>
      <c r="L24">
        <v>81218</v>
      </c>
      <c r="M24" t="s">
        <v>28</v>
      </c>
      <c r="N24" t="s">
        <v>213</v>
      </c>
      <c r="O24" t="s">
        <v>43</v>
      </c>
      <c r="P24" t="s">
        <v>214</v>
      </c>
      <c r="Q24" t="s">
        <v>215</v>
      </c>
      <c r="R24" t="s">
        <v>216</v>
      </c>
      <c r="S24">
        <v>6</v>
      </c>
      <c r="T24" s="2">
        <v>0.1</v>
      </c>
      <c r="U24" t="s">
        <v>217</v>
      </c>
    </row>
    <row r="25" spans="1:21">
      <c r="A25">
        <v>273</v>
      </c>
      <c r="B25" t="s">
        <v>218</v>
      </c>
      <c r="C25" s="1">
        <v>44613</v>
      </c>
      <c r="D25" s="1">
        <v>44617</v>
      </c>
      <c r="E25" t="s">
        <v>36</v>
      </c>
      <c r="F25" t="s">
        <v>219</v>
      </c>
      <c r="G25" t="s">
        <v>220</v>
      </c>
      <c r="H25" t="s">
        <v>25</v>
      </c>
      <c r="I25" t="s">
        <v>26</v>
      </c>
      <c r="J25" t="s">
        <v>204</v>
      </c>
      <c r="K25" t="s">
        <v>204</v>
      </c>
      <c r="L25">
        <v>96133</v>
      </c>
      <c r="M25" t="s">
        <v>28</v>
      </c>
      <c r="N25" t="s">
        <v>221</v>
      </c>
      <c r="O25" t="s">
        <v>30</v>
      </c>
      <c r="P25" t="s">
        <v>222</v>
      </c>
      <c r="Q25" t="s">
        <v>223</v>
      </c>
      <c r="R25" t="s">
        <v>224</v>
      </c>
      <c r="S25">
        <v>4</v>
      </c>
      <c r="T25" s="2">
        <v>0.1</v>
      </c>
      <c r="U25" t="s">
        <v>225</v>
      </c>
    </row>
    <row r="26" spans="1:21">
      <c r="A26">
        <v>206</v>
      </c>
      <c r="B26" t="s">
        <v>226</v>
      </c>
      <c r="C26" s="1">
        <v>44613</v>
      </c>
      <c r="D26" s="1">
        <v>44618</v>
      </c>
      <c r="E26" t="s">
        <v>36</v>
      </c>
      <c r="F26" t="s">
        <v>227</v>
      </c>
      <c r="G26" t="s">
        <v>228</v>
      </c>
      <c r="H26" t="s">
        <v>25</v>
      </c>
      <c r="I26" t="s">
        <v>26</v>
      </c>
      <c r="J26" t="s">
        <v>229</v>
      </c>
      <c r="K26" t="s">
        <v>229</v>
      </c>
      <c r="L26">
        <v>42854</v>
      </c>
      <c r="M26" t="s">
        <v>73</v>
      </c>
      <c r="N26" t="s">
        <v>230</v>
      </c>
      <c r="O26" t="s">
        <v>43</v>
      </c>
      <c r="P26" t="s">
        <v>44</v>
      </c>
      <c r="Q26" t="s">
        <v>231</v>
      </c>
      <c r="R26" t="s">
        <v>232</v>
      </c>
      <c r="S26">
        <v>1</v>
      </c>
      <c r="T26" s="2">
        <v>0.1</v>
      </c>
      <c r="U26" t="s">
        <v>233</v>
      </c>
    </row>
    <row r="27" spans="1:21">
      <c r="A27">
        <v>204</v>
      </c>
      <c r="B27" t="s">
        <v>234</v>
      </c>
      <c r="C27" s="1">
        <v>44624</v>
      </c>
      <c r="D27" s="1">
        <v>44626</v>
      </c>
      <c r="E27" t="s">
        <v>36</v>
      </c>
      <c r="F27" t="s">
        <v>235</v>
      </c>
      <c r="G27" t="s">
        <v>236</v>
      </c>
      <c r="H27" t="s">
        <v>25</v>
      </c>
      <c r="I27" t="s">
        <v>26</v>
      </c>
      <c r="J27" t="s">
        <v>237</v>
      </c>
      <c r="K27" t="s">
        <v>237</v>
      </c>
      <c r="L27">
        <v>77173</v>
      </c>
      <c r="M27" t="s">
        <v>41</v>
      </c>
      <c r="N27" t="s">
        <v>238</v>
      </c>
      <c r="O27" t="s">
        <v>43</v>
      </c>
      <c r="P27" t="s">
        <v>44</v>
      </c>
      <c r="Q27" t="s">
        <v>239</v>
      </c>
      <c r="R27" t="s">
        <v>240</v>
      </c>
      <c r="S27">
        <v>4</v>
      </c>
      <c r="T27" s="2">
        <v>0.05</v>
      </c>
      <c r="U27" t="s">
        <v>241</v>
      </c>
    </row>
    <row r="28" spans="1:21">
      <c r="A28">
        <v>259</v>
      </c>
      <c r="B28" t="s">
        <v>242</v>
      </c>
      <c r="C28" s="1">
        <v>44625</v>
      </c>
      <c r="D28" s="1">
        <v>44627</v>
      </c>
      <c r="E28" t="s">
        <v>36</v>
      </c>
      <c r="F28" t="s">
        <v>243</v>
      </c>
      <c r="G28" t="s">
        <v>244</v>
      </c>
      <c r="H28" t="s">
        <v>39</v>
      </c>
      <c r="I28" t="s">
        <v>26</v>
      </c>
      <c r="J28" t="s">
        <v>245</v>
      </c>
      <c r="K28" t="s">
        <v>245</v>
      </c>
      <c r="L28">
        <v>74140</v>
      </c>
      <c r="M28" t="s">
        <v>41</v>
      </c>
      <c r="N28" t="s">
        <v>246</v>
      </c>
      <c r="O28" t="s">
        <v>30</v>
      </c>
      <c r="P28" t="s">
        <v>120</v>
      </c>
      <c r="Q28" t="s">
        <v>247</v>
      </c>
      <c r="R28" t="s">
        <v>248</v>
      </c>
      <c r="S28">
        <v>2</v>
      </c>
      <c r="T28" s="2">
        <v>0</v>
      </c>
      <c r="U28" t="s">
        <v>249</v>
      </c>
    </row>
    <row r="29" spans="1:21">
      <c r="A29">
        <v>523</v>
      </c>
      <c r="B29" t="s">
        <v>250</v>
      </c>
      <c r="C29" s="1">
        <v>44627</v>
      </c>
      <c r="D29" s="1">
        <v>44631</v>
      </c>
      <c r="E29" t="s">
        <v>36</v>
      </c>
      <c r="F29" t="s">
        <v>251</v>
      </c>
      <c r="G29" t="s">
        <v>252</v>
      </c>
      <c r="H29" t="s">
        <v>39</v>
      </c>
      <c r="I29" t="s">
        <v>26</v>
      </c>
      <c r="J29" t="s">
        <v>212</v>
      </c>
      <c r="K29" t="s">
        <v>212</v>
      </c>
      <c r="L29">
        <v>56433</v>
      </c>
      <c r="M29" t="s">
        <v>28</v>
      </c>
      <c r="N29" t="s">
        <v>253</v>
      </c>
      <c r="O29" t="s">
        <v>64</v>
      </c>
      <c r="P29" t="s">
        <v>136</v>
      </c>
      <c r="Q29" t="s">
        <v>254</v>
      </c>
      <c r="R29" t="s">
        <v>255</v>
      </c>
      <c r="S29">
        <v>3</v>
      </c>
      <c r="T29" s="2">
        <v>0.4</v>
      </c>
      <c r="U29" t="s">
        <v>256</v>
      </c>
    </row>
    <row r="30" spans="1:21">
      <c r="A30">
        <v>492</v>
      </c>
      <c r="B30" t="s">
        <v>257</v>
      </c>
      <c r="C30" s="1">
        <v>44628</v>
      </c>
      <c r="D30" s="1">
        <v>44632</v>
      </c>
      <c r="E30" t="s">
        <v>36</v>
      </c>
      <c r="F30" t="s">
        <v>258</v>
      </c>
      <c r="G30" t="s">
        <v>259</v>
      </c>
      <c r="H30" t="s">
        <v>25</v>
      </c>
      <c r="I30" t="s">
        <v>26</v>
      </c>
      <c r="J30" t="s">
        <v>260</v>
      </c>
      <c r="K30" t="s">
        <v>260</v>
      </c>
      <c r="L30">
        <v>50136</v>
      </c>
      <c r="M30" t="s">
        <v>41</v>
      </c>
      <c r="N30" t="s">
        <v>261</v>
      </c>
      <c r="O30" t="s">
        <v>30</v>
      </c>
      <c r="P30" t="s">
        <v>197</v>
      </c>
      <c r="Q30" t="s">
        <v>262</v>
      </c>
      <c r="R30" t="s">
        <v>263</v>
      </c>
      <c r="S30">
        <v>2</v>
      </c>
      <c r="T30" s="2">
        <v>0.1</v>
      </c>
      <c r="U30" t="s">
        <v>264</v>
      </c>
    </row>
    <row r="31" spans="1:21">
      <c r="A31">
        <v>521</v>
      </c>
      <c r="B31" t="s">
        <v>265</v>
      </c>
      <c r="C31" s="1">
        <v>44635</v>
      </c>
      <c r="D31" s="1">
        <v>44637</v>
      </c>
      <c r="E31" t="s">
        <v>36</v>
      </c>
      <c r="F31" t="s">
        <v>266</v>
      </c>
      <c r="G31" t="s">
        <v>267</v>
      </c>
      <c r="H31" t="s">
        <v>25</v>
      </c>
      <c r="I31" t="s">
        <v>26</v>
      </c>
      <c r="J31" t="s">
        <v>81</v>
      </c>
      <c r="K31" t="s">
        <v>81</v>
      </c>
      <c r="L31">
        <v>35395</v>
      </c>
      <c r="M31" t="s">
        <v>62</v>
      </c>
      <c r="N31" t="s">
        <v>268</v>
      </c>
      <c r="O31" t="s">
        <v>64</v>
      </c>
      <c r="P31" t="s">
        <v>105</v>
      </c>
      <c r="Q31" t="s">
        <v>269</v>
      </c>
      <c r="R31" t="s">
        <v>270</v>
      </c>
      <c r="S31">
        <v>5</v>
      </c>
      <c r="T31" s="2">
        <v>0.2</v>
      </c>
      <c r="U31" t="s">
        <v>271</v>
      </c>
    </row>
    <row r="32" spans="1:21">
      <c r="A32">
        <v>287</v>
      </c>
      <c r="B32" t="s">
        <v>272</v>
      </c>
      <c r="C32" s="1">
        <v>44637</v>
      </c>
      <c r="D32" s="1">
        <v>44641</v>
      </c>
      <c r="E32" t="s">
        <v>49</v>
      </c>
      <c r="F32" t="s">
        <v>273</v>
      </c>
      <c r="G32" t="s">
        <v>134</v>
      </c>
      <c r="H32" t="s">
        <v>60</v>
      </c>
      <c r="I32" t="s">
        <v>26</v>
      </c>
      <c r="J32" t="s">
        <v>212</v>
      </c>
      <c r="K32" t="s">
        <v>212</v>
      </c>
      <c r="L32">
        <v>24997</v>
      </c>
      <c r="M32" t="s">
        <v>28</v>
      </c>
      <c r="N32" t="s">
        <v>274</v>
      </c>
      <c r="O32" t="s">
        <v>64</v>
      </c>
      <c r="P32" t="s">
        <v>65</v>
      </c>
      <c r="Q32" t="s">
        <v>275</v>
      </c>
      <c r="R32" t="s">
        <v>276</v>
      </c>
      <c r="S32">
        <v>6</v>
      </c>
      <c r="T32" s="2">
        <v>0.1</v>
      </c>
      <c r="U32" t="s">
        <v>277</v>
      </c>
    </row>
    <row r="33" spans="1:21">
      <c r="A33">
        <v>299</v>
      </c>
      <c r="B33" t="s">
        <v>278</v>
      </c>
      <c r="C33" s="1">
        <v>44639</v>
      </c>
      <c r="D33" s="1">
        <v>44642</v>
      </c>
      <c r="E33" t="s">
        <v>22</v>
      </c>
      <c r="F33" t="s">
        <v>279</v>
      </c>
      <c r="G33" t="s">
        <v>59</v>
      </c>
      <c r="H33" t="s">
        <v>60</v>
      </c>
      <c r="I33" t="s">
        <v>26</v>
      </c>
      <c r="J33" t="s">
        <v>96</v>
      </c>
      <c r="K33" t="s">
        <v>96</v>
      </c>
      <c r="L33">
        <v>60906</v>
      </c>
      <c r="M33" t="s">
        <v>28</v>
      </c>
      <c r="N33" t="s">
        <v>280</v>
      </c>
      <c r="O33" t="s">
        <v>43</v>
      </c>
      <c r="P33" t="s">
        <v>189</v>
      </c>
      <c r="Q33" t="s">
        <v>281</v>
      </c>
      <c r="R33" t="s">
        <v>282</v>
      </c>
      <c r="S33">
        <v>3</v>
      </c>
      <c r="T33" s="2">
        <v>0.3</v>
      </c>
      <c r="U33" t="s">
        <v>283</v>
      </c>
    </row>
    <row r="34" spans="1:21">
      <c r="A34">
        <v>323</v>
      </c>
      <c r="B34" t="s">
        <v>284</v>
      </c>
      <c r="C34" s="1">
        <v>44645</v>
      </c>
      <c r="D34" s="1">
        <v>44650</v>
      </c>
      <c r="E34" t="s">
        <v>36</v>
      </c>
      <c r="F34" t="s">
        <v>285</v>
      </c>
      <c r="G34" t="s">
        <v>286</v>
      </c>
      <c r="H34" t="s">
        <v>60</v>
      </c>
      <c r="I34" t="s">
        <v>26</v>
      </c>
      <c r="J34" t="s">
        <v>260</v>
      </c>
      <c r="K34" t="s">
        <v>260</v>
      </c>
      <c r="L34">
        <v>96437</v>
      </c>
      <c r="M34" t="s">
        <v>41</v>
      </c>
      <c r="N34" t="s">
        <v>287</v>
      </c>
      <c r="O34" t="s">
        <v>30</v>
      </c>
      <c r="P34" t="s">
        <v>222</v>
      </c>
      <c r="Q34" t="s">
        <v>288</v>
      </c>
      <c r="R34" t="s">
        <v>289</v>
      </c>
      <c r="S34">
        <v>7</v>
      </c>
      <c r="T34" s="2">
        <v>0.3</v>
      </c>
      <c r="U34" t="s">
        <v>290</v>
      </c>
    </row>
    <row r="35" spans="1:21">
      <c r="A35">
        <v>397</v>
      </c>
      <c r="B35" t="s">
        <v>291</v>
      </c>
      <c r="C35" s="1">
        <v>44645</v>
      </c>
      <c r="D35" s="1">
        <v>44647</v>
      </c>
      <c r="E35" t="s">
        <v>49</v>
      </c>
      <c r="F35" t="s">
        <v>292</v>
      </c>
      <c r="G35" t="s">
        <v>293</v>
      </c>
      <c r="H35" t="s">
        <v>39</v>
      </c>
      <c r="I35" t="s">
        <v>26</v>
      </c>
      <c r="J35" t="s">
        <v>96</v>
      </c>
      <c r="K35" t="s">
        <v>96</v>
      </c>
      <c r="L35">
        <v>30365</v>
      </c>
      <c r="M35" t="s">
        <v>28</v>
      </c>
      <c r="N35" t="s">
        <v>294</v>
      </c>
      <c r="O35" t="s">
        <v>43</v>
      </c>
      <c r="P35" t="s">
        <v>189</v>
      </c>
      <c r="Q35" t="s">
        <v>295</v>
      </c>
      <c r="R35" t="s">
        <v>296</v>
      </c>
      <c r="S35">
        <v>2</v>
      </c>
      <c r="T35" s="2">
        <v>0</v>
      </c>
      <c r="U35" t="s">
        <v>297</v>
      </c>
    </row>
    <row r="36" spans="1:21">
      <c r="A36">
        <v>396</v>
      </c>
      <c r="B36" t="s">
        <v>298</v>
      </c>
      <c r="C36" s="1">
        <v>44647</v>
      </c>
      <c r="D36" s="1">
        <v>44648</v>
      </c>
      <c r="E36" t="s">
        <v>49</v>
      </c>
      <c r="F36" t="s">
        <v>299</v>
      </c>
      <c r="G36" t="s">
        <v>300</v>
      </c>
      <c r="H36" t="s">
        <v>60</v>
      </c>
      <c r="I36" t="s">
        <v>26</v>
      </c>
      <c r="J36" t="s">
        <v>301</v>
      </c>
      <c r="K36" t="s">
        <v>301</v>
      </c>
      <c r="L36">
        <v>93569</v>
      </c>
      <c r="M36" t="s">
        <v>73</v>
      </c>
      <c r="N36" t="s">
        <v>302</v>
      </c>
      <c r="O36" t="s">
        <v>30</v>
      </c>
      <c r="P36" t="s">
        <v>222</v>
      </c>
      <c r="Q36" t="s">
        <v>303</v>
      </c>
      <c r="R36" t="s">
        <v>304</v>
      </c>
      <c r="S36">
        <v>3</v>
      </c>
      <c r="T36" s="2">
        <v>0</v>
      </c>
      <c r="U36" t="s">
        <v>305</v>
      </c>
    </row>
    <row r="37" spans="1:21">
      <c r="A37">
        <v>431</v>
      </c>
      <c r="B37" t="s">
        <v>306</v>
      </c>
      <c r="C37" s="1">
        <v>44649</v>
      </c>
      <c r="D37" s="1">
        <v>44650</v>
      </c>
      <c r="E37" t="s">
        <v>36</v>
      </c>
      <c r="F37" t="s">
        <v>307</v>
      </c>
      <c r="G37" t="s">
        <v>308</v>
      </c>
      <c r="H37" t="s">
        <v>39</v>
      </c>
      <c r="I37" t="s">
        <v>26</v>
      </c>
      <c r="J37" t="s">
        <v>27</v>
      </c>
      <c r="K37" t="s">
        <v>27</v>
      </c>
      <c r="L37">
        <v>39377</v>
      </c>
      <c r="M37" t="s">
        <v>28</v>
      </c>
      <c r="N37" t="s">
        <v>309</v>
      </c>
      <c r="O37" t="s">
        <v>64</v>
      </c>
      <c r="P37" t="s">
        <v>136</v>
      </c>
      <c r="Q37" t="s">
        <v>310</v>
      </c>
      <c r="R37" t="s">
        <v>311</v>
      </c>
      <c r="S37">
        <v>4</v>
      </c>
      <c r="T37" s="2">
        <v>0</v>
      </c>
      <c r="U37" t="s">
        <v>312</v>
      </c>
    </row>
    <row r="38" spans="1:21">
      <c r="A38">
        <v>494</v>
      </c>
      <c r="B38" t="s">
        <v>313</v>
      </c>
      <c r="C38" s="1">
        <v>44650</v>
      </c>
      <c r="D38" s="1">
        <v>44651</v>
      </c>
      <c r="E38" t="s">
        <v>49</v>
      </c>
      <c r="F38" t="s">
        <v>314</v>
      </c>
      <c r="G38" t="s">
        <v>315</v>
      </c>
      <c r="H38" t="s">
        <v>25</v>
      </c>
      <c r="I38" t="s">
        <v>26</v>
      </c>
      <c r="J38" t="s">
        <v>150</v>
      </c>
      <c r="K38" t="s">
        <v>150</v>
      </c>
      <c r="L38">
        <v>15607</v>
      </c>
      <c r="M38" t="s">
        <v>73</v>
      </c>
      <c r="N38" t="s">
        <v>316</v>
      </c>
      <c r="O38" t="s">
        <v>43</v>
      </c>
      <c r="P38" t="s">
        <v>44</v>
      </c>
      <c r="Q38" t="s">
        <v>317</v>
      </c>
      <c r="R38" t="s">
        <v>318</v>
      </c>
      <c r="S38">
        <v>1</v>
      </c>
      <c r="T38" s="2">
        <v>0.5</v>
      </c>
      <c r="U38" t="s">
        <v>319</v>
      </c>
    </row>
    <row r="39" spans="1:21">
      <c r="A39">
        <v>496</v>
      </c>
      <c r="B39" t="s">
        <v>320</v>
      </c>
      <c r="C39" s="1">
        <v>44651</v>
      </c>
      <c r="D39" s="1">
        <v>44656</v>
      </c>
      <c r="E39" t="s">
        <v>36</v>
      </c>
      <c r="F39" t="s">
        <v>321</v>
      </c>
      <c r="G39" t="s">
        <v>322</v>
      </c>
      <c r="H39" t="s">
        <v>25</v>
      </c>
      <c r="I39" t="s">
        <v>26</v>
      </c>
      <c r="J39" t="s">
        <v>301</v>
      </c>
      <c r="K39" t="s">
        <v>301</v>
      </c>
      <c r="L39">
        <v>43270</v>
      </c>
      <c r="M39" t="s">
        <v>73</v>
      </c>
      <c r="N39" t="s">
        <v>323</v>
      </c>
      <c r="O39" t="s">
        <v>30</v>
      </c>
      <c r="P39" t="s">
        <v>31</v>
      </c>
      <c r="Q39" t="s">
        <v>324</v>
      </c>
      <c r="R39" t="s">
        <v>325</v>
      </c>
      <c r="S39">
        <v>6</v>
      </c>
      <c r="T39" s="2">
        <v>0.15</v>
      </c>
      <c r="U39" t="s">
        <v>326</v>
      </c>
    </row>
    <row r="40" spans="1:21">
      <c r="A40">
        <v>244</v>
      </c>
      <c r="B40" t="s">
        <v>327</v>
      </c>
      <c r="C40" s="1">
        <v>44652</v>
      </c>
      <c r="D40" s="1">
        <v>44657</v>
      </c>
      <c r="E40" t="s">
        <v>22</v>
      </c>
      <c r="F40" t="s">
        <v>328</v>
      </c>
      <c r="G40" t="s">
        <v>329</v>
      </c>
      <c r="H40" t="s">
        <v>39</v>
      </c>
      <c r="I40" t="s">
        <v>26</v>
      </c>
      <c r="J40" t="s">
        <v>204</v>
      </c>
      <c r="K40" t="s">
        <v>204</v>
      </c>
      <c r="L40">
        <v>70652</v>
      </c>
      <c r="M40" t="s">
        <v>28</v>
      </c>
      <c r="N40" t="s">
        <v>330</v>
      </c>
      <c r="O40" t="s">
        <v>64</v>
      </c>
      <c r="P40" t="s">
        <v>105</v>
      </c>
      <c r="Q40" t="s">
        <v>331</v>
      </c>
      <c r="R40" t="s">
        <v>332</v>
      </c>
      <c r="S40">
        <v>4</v>
      </c>
      <c r="T40" s="2">
        <v>0</v>
      </c>
      <c r="U40" t="s">
        <v>333</v>
      </c>
    </row>
    <row r="41" spans="1:21">
      <c r="A41">
        <v>514</v>
      </c>
      <c r="B41" t="s">
        <v>334</v>
      </c>
      <c r="C41" s="1">
        <v>44652</v>
      </c>
      <c r="D41" s="1">
        <v>44655</v>
      </c>
      <c r="E41" t="s">
        <v>22</v>
      </c>
      <c r="F41" t="s">
        <v>335</v>
      </c>
      <c r="G41" t="s">
        <v>336</v>
      </c>
      <c r="H41" t="s">
        <v>25</v>
      </c>
      <c r="I41" t="s">
        <v>26</v>
      </c>
      <c r="J41" t="s">
        <v>212</v>
      </c>
      <c r="K41" t="s">
        <v>212</v>
      </c>
      <c r="L41">
        <v>54721</v>
      </c>
      <c r="M41" t="s">
        <v>28</v>
      </c>
      <c r="N41" t="s">
        <v>337</v>
      </c>
      <c r="O41" t="s">
        <v>43</v>
      </c>
      <c r="P41" t="s">
        <v>128</v>
      </c>
      <c r="Q41" t="s">
        <v>338</v>
      </c>
      <c r="R41" t="s">
        <v>339</v>
      </c>
      <c r="S41">
        <v>6</v>
      </c>
      <c r="T41" s="2">
        <v>0.4</v>
      </c>
      <c r="U41" t="s">
        <v>340</v>
      </c>
    </row>
    <row r="42" spans="1:21">
      <c r="A42">
        <v>394</v>
      </c>
      <c r="B42" t="s">
        <v>341</v>
      </c>
      <c r="C42" s="1">
        <v>44664</v>
      </c>
      <c r="D42" s="1">
        <v>44667</v>
      </c>
      <c r="E42" t="s">
        <v>36</v>
      </c>
      <c r="F42" t="s">
        <v>342</v>
      </c>
      <c r="G42" t="s">
        <v>300</v>
      </c>
      <c r="H42" t="s">
        <v>39</v>
      </c>
      <c r="I42" t="s">
        <v>26</v>
      </c>
      <c r="J42" t="s">
        <v>229</v>
      </c>
      <c r="K42" t="s">
        <v>229</v>
      </c>
      <c r="L42">
        <v>94585</v>
      </c>
      <c r="M42" t="s">
        <v>73</v>
      </c>
      <c r="N42" t="s">
        <v>343</v>
      </c>
      <c r="O42" t="s">
        <v>64</v>
      </c>
      <c r="P42" t="s">
        <v>65</v>
      </c>
      <c r="Q42" t="s">
        <v>344</v>
      </c>
      <c r="R42" t="s">
        <v>345</v>
      </c>
      <c r="S42">
        <v>2</v>
      </c>
      <c r="T42" s="2">
        <v>0.3</v>
      </c>
      <c r="U42" t="s">
        <v>346</v>
      </c>
    </row>
    <row r="43" spans="1:21">
      <c r="A43">
        <v>84</v>
      </c>
      <c r="B43" t="s">
        <v>347</v>
      </c>
      <c r="C43" s="1">
        <v>44667</v>
      </c>
      <c r="D43" s="1">
        <v>44669</v>
      </c>
      <c r="E43" t="s">
        <v>36</v>
      </c>
      <c r="F43" t="s">
        <v>348</v>
      </c>
      <c r="G43" t="s">
        <v>349</v>
      </c>
      <c r="H43" t="s">
        <v>39</v>
      </c>
      <c r="I43" t="s">
        <v>26</v>
      </c>
      <c r="J43" t="s">
        <v>173</v>
      </c>
      <c r="K43" t="s">
        <v>173</v>
      </c>
      <c r="L43">
        <v>36630</v>
      </c>
      <c r="M43" t="s">
        <v>73</v>
      </c>
      <c r="N43" t="s">
        <v>350</v>
      </c>
      <c r="O43" t="s">
        <v>64</v>
      </c>
      <c r="P43" t="s">
        <v>65</v>
      </c>
      <c r="Q43" t="s">
        <v>351</v>
      </c>
      <c r="R43" t="s">
        <v>352</v>
      </c>
      <c r="S43">
        <v>2</v>
      </c>
      <c r="T43" s="2">
        <v>0.2</v>
      </c>
      <c r="U43" t="s">
        <v>353</v>
      </c>
    </row>
    <row r="44" spans="1:21">
      <c r="A44">
        <v>447</v>
      </c>
      <c r="B44" t="s">
        <v>354</v>
      </c>
      <c r="C44" s="1">
        <v>44667</v>
      </c>
      <c r="D44" s="1">
        <v>44669</v>
      </c>
      <c r="E44" t="s">
        <v>36</v>
      </c>
      <c r="F44" t="s">
        <v>355</v>
      </c>
      <c r="G44" t="s">
        <v>220</v>
      </c>
      <c r="H44" t="s">
        <v>60</v>
      </c>
      <c r="I44" t="s">
        <v>26</v>
      </c>
      <c r="J44" t="s">
        <v>204</v>
      </c>
      <c r="K44" t="s">
        <v>204</v>
      </c>
      <c r="L44">
        <v>64639</v>
      </c>
      <c r="M44" t="s">
        <v>28</v>
      </c>
      <c r="N44" t="s">
        <v>356</v>
      </c>
      <c r="O44" t="s">
        <v>30</v>
      </c>
      <c r="P44" t="s">
        <v>120</v>
      </c>
      <c r="Q44" t="s">
        <v>357</v>
      </c>
      <c r="R44" t="s">
        <v>358</v>
      </c>
      <c r="S44">
        <v>5</v>
      </c>
      <c r="T44" s="2">
        <v>0.3</v>
      </c>
      <c r="U44" t="s">
        <v>359</v>
      </c>
    </row>
    <row r="45" spans="1:21">
      <c r="A45">
        <v>498</v>
      </c>
      <c r="B45" t="s">
        <v>360</v>
      </c>
      <c r="C45" s="1">
        <v>44668</v>
      </c>
      <c r="D45" s="1">
        <v>44672</v>
      </c>
      <c r="E45" t="s">
        <v>36</v>
      </c>
      <c r="F45" t="s">
        <v>361</v>
      </c>
      <c r="G45" t="s">
        <v>362</v>
      </c>
      <c r="H45" t="s">
        <v>25</v>
      </c>
      <c r="I45" t="s">
        <v>26</v>
      </c>
      <c r="J45" t="s">
        <v>363</v>
      </c>
      <c r="K45" t="s">
        <v>363</v>
      </c>
      <c r="L45">
        <v>41153</v>
      </c>
      <c r="M45" t="s">
        <v>62</v>
      </c>
      <c r="N45" t="s">
        <v>364</v>
      </c>
      <c r="O45" t="s">
        <v>30</v>
      </c>
      <c r="P45" t="s">
        <v>120</v>
      </c>
      <c r="Q45" t="s">
        <v>365</v>
      </c>
      <c r="R45" t="s">
        <v>366</v>
      </c>
      <c r="S45">
        <v>5</v>
      </c>
      <c r="T45" s="2">
        <v>0</v>
      </c>
      <c r="U45" t="s">
        <v>367</v>
      </c>
    </row>
    <row r="46" spans="1:21">
      <c r="A46">
        <v>311</v>
      </c>
      <c r="B46" t="s">
        <v>368</v>
      </c>
      <c r="C46" s="1">
        <v>44669</v>
      </c>
      <c r="D46" s="1">
        <v>44671</v>
      </c>
      <c r="E46" t="s">
        <v>36</v>
      </c>
      <c r="F46" t="s">
        <v>369</v>
      </c>
      <c r="G46" t="s">
        <v>370</v>
      </c>
      <c r="H46" t="s">
        <v>39</v>
      </c>
      <c r="I46" t="s">
        <v>26</v>
      </c>
      <c r="J46" t="s">
        <v>157</v>
      </c>
      <c r="K46" t="s">
        <v>157</v>
      </c>
      <c r="L46">
        <v>18320</v>
      </c>
      <c r="M46" t="s">
        <v>62</v>
      </c>
      <c r="N46" t="s">
        <v>371</v>
      </c>
      <c r="O46" t="s">
        <v>64</v>
      </c>
      <c r="P46" t="s">
        <v>136</v>
      </c>
      <c r="Q46" t="s">
        <v>372</v>
      </c>
      <c r="R46" t="s">
        <v>373</v>
      </c>
      <c r="S46">
        <v>4</v>
      </c>
      <c r="T46" s="2">
        <v>0.3</v>
      </c>
      <c r="U46" t="s">
        <v>374</v>
      </c>
    </row>
    <row r="47" spans="1:21">
      <c r="A47">
        <v>268</v>
      </c>
      <c r="B47" t="s">
        <v>375</v>
      </c>
      <c r="C47" s="1">
        <v>44670</v>
      </c>
      <c r="D47" s="1">
        <v>44675</v>
      </c>
      <c r="E47" t="s">
        <v>22</v>
      </c>
      <c r="F47" t="s">
        <v>376</v>
      </c>
      <c r="G47" t="s">
        <v>211</v>
      </c>
      <c r="H47" t="s">
        <v>25</v>
      </c>
      <c r="I47" t="s">
        <v>26</v>
      </c>
      <c r="J47" t="s">
        <v>237</v>
      </c>
      <c r="K47" t="s">
        <v>237</v>
      </c>
      <c r="L47">
        <v>44753</v>
      </c>
      <c r="M47" t="s">
        <v>41</v>
      </c>
      <c r="N47" t="s">
        <v>377</v>
      </c>
      <c r="O47" t="s">
        <v>43</v>
      </c>
      <c r="P47" t="s">
        <v>166</v>
      </c>
      <c r="Q47" t="s">
        <v>378</v>
      </c>
      <c r="R47" t="s">
        <v>379</v>
      </c>
      <c r="S47">
        <v>1</v>
      </c>
      <c r="T47" s="2">
        <v>0.15</v>
      </c>
      <c r="U47" t="s">
        <v>380</v>
      </c>
    </row>
    <row r="48" spans="1:21">
      <c r="A48">
        <v>285</v>
      </c>
      <c r="B48" t="s">
        <v>381</v>
      </c>
      <c r="C48" s="1">
        <v>44672</v>
      </c>
      <c r="D48" s="1">
        <v>44675</v>
      </c>
      <c r="E48" t="s">
        <v>382</v>
      </c>
      <c r="F48" t="s">
        <v>383</v>
      </c>
      <c r="G48" t="s">
        <v>384</v>
      </c>
      <c r="H48" t="s">
        <v>25</v>
      </c>
      <c r="I48" t="s">
        <v>26</v>
      </c>
      <c r="J48" t="s">
        <v>96</v>
      </c>
      <c r="K48" t="s">
        <v>96</v>
      </c>
      <c r="L48">
        <v>94817</v>
      </c>
      <c r="M48" t="s">
        <v>28</v>
      </c>
      <c r="N48" t="s">
        <v>385</v>
      </c>
      <c r="O48" t="s">
        <v>30</v>
      </c>
      <c r="P48" t="s">
        <v>31</v>
      </c>
      <c r="Q48" t="s">
        <v>386</v>
      </c>
      <c r="R48" t="s">
        <v>387</v>
      </c>
      <c r="S48">
        <v>5</v>
      </c>
      <c r="T48" s="2">
        <v>0.05</v>
      </c>
      <c r="U48" t="s">
        <v>388</v>
      </c>
    </row>
    <row r="49" spans="1:21">
      <c r="A49">
        <v>39</v>
      </c>
      <c r="B49" t="s">
        <v>389</v>
      </c>
      <c r="C49" s="1">
        <v>44672</v>
      </c>
      <c r="D49" s="1">
        <v>44674</v>
      </c>
      <c r="E49" t="s">
        <v>49</v>
      </c>
      <c r="F49" t="s">
        <v>390</v>
      </c>
      <c r="G49" t="s">
        <v>252</v>
      </c>
      <c r="H49" t="s">
        <v>25</v>
      </c>
      <c r="I49" t="s">
        <v>26</v>
      </c>
      <c r="J49" t="s">
        <v>40</v>
      </c>
      <c r="K49" t="s">
        <v>40</v>
      </c>
      <c r="L49">
        <v>33954</v>
      </c>
      <c r="M49" t="s">
        <v>41</v>
      </c>
      <c r="N49" t="s">
        <v>391</v>
      </c>
      <c r="O49" t="s">
        <v>43</v>
      </c>
      <c r="P49" t="s">
        <v>166</v>
      </c>
      <c r="Q49" t="s">
        <v>392</v>
      </c>
      <c r="R49" t="s">
        <v>393</v>
      </c>
      <c r="S49">
        <v>3</v>
      </c>
      <c r="T49" s="2">
        <v>0.3</v>
      </c>
      <c r="U49" t="s">
        <v>394</v>
      </c>
    </row>
    <row r="50" spans="1:21">
      <c r="A50">
        <v>186</v>
      </c>
      <c r="B50" t="s">
        <v>395</v>
      </c>
      <c r="C50" s="1">
        <v>44673</v>
      </c>
      <c r="D50" s="1">
        <v>44678</v>
      </c>
      <c r="E50" t="s">
        <v>22</v>
      </c>
      <c r="F50" t="s">
        <v>396</v>
      </c>
      <c r="G50" t="s">
        <v>397</v>
      </c>
      <c r="H50" t="s">
        <v>25</v>
      </c>
      <c r="I50" t="s">
        <v>26</v>
      </c>
      <c r="J50" t="s">
        <v>212</v>
      </c>
      <c r="K50" t="s">
        <v>212</v>
      </c>
      <c r="L50">
        <v>87801</v>
      </c>
      <c r="M50" t="s">
        <v>28</v>
      </c>
      <c r="N50" t="s">
        <v>398</v>
      </c>
      <c r="O50" t="s">
        <v>43</v>
      </c>
      <c r="P50" t="s">
        <v>166</v>
      </c>
      <c r="Q50" t="s">
        <v>399</v>
      </c>
      <c r="R50" t="s">
        <v>400</v>
      </c>
      <c r="S50">
        <v>7</v>
      </c>
      <c r="T50" s="2">
        <v>0.3</v>
      </c>
      <c r="U50" t="s">
        <v>401</v>
      </c>
    </row>
    <row r="51" spans="1:21">
      <c r="A51">
        <v>274</v>
      </c>
      <c r="B51" t="s">
        <v>402</v>
      </c>
      <c r="C51" s="1">
        <v>44677</v>
      </c>
      <c r="D51" s="1">
        <v>44681</v>
      </c>
      <c r="E51" t="s">
        <v>36</v>
      </c>
      <c r="F51" t="s">
        <v>403</v>
      </c>
      <c r="G51" t="s">
        <v>134</v>
      </c>
      <c r="H51" t="s">
        <v>25</v>
      </c>
      <c r="I51" t="s">
        <v>26</v>
      </c>
      <c r="J51" t="s">
        <v>52</v>
      </c>
      <c r="K51" t="s">
        <v>52</v>
      </c>
      <c r="L51">
        <v>56546</v>
      </c>
      <c r="M51" t="s">
        <v>41</v>
      </c>
      <c r="N51" t="s">
        <v>404</v>
      </c>
      <c r="O51" t="s">
        <v>64</v>
      </c>
      <c r="P51" t="s">
        <v>405</v>
      </c>
      <c r="Q51" t="s">
        <v>406</v>
      </c>
      <c r="R51" t="s">
        <v>407</v>
      </c>
      <c r="S51">
        <v>7</v>
      </c>
      <c r="T51" s="2">
        <v>0.1</v>
      </c>
      <c r="U51" t="s">
        <v>408</v>
      </c>
    </row>
    <row r="52" spans="1:21">
      <c r="A52">
        <v>54</v>
      </c>
      <c r="B52" t="s">
        <v>409</v>
      </c>
      <c r="C52" s="1">
        <v>44678</v>
      </c>
      <c r="D52" s="1">
        <v>44681</v>
      </c>
      <c r="E52" t="s">
        <v>22</v>
      </c>
      <c r="F52" t="s">
        <v>410</v>
      </c>
      <c r="G52" t="s">
        <v>411</v>
      </c>
      <c r="H52" t="s">
        <v>60</v>
      </c>
      <c r="I52" t="s">
        <v>26</v>
      </c>
      <c r="J52" t="s">
        <v>245</v>
      </c>
      <c r="K52" t="s">
        <v>245</v>
      </c>
      <c r="L52">
        <v>77526</v>
      </c>
      <c r="M52" t="s">
        <v>41</v>
      </c>
      <c r="N52" t="s">
        <v>412</v>
      </c>
      <c r="O52" t="s">
        <v>43</v>
      </c>
      <c r="P52" t="s">
        <v>214</v>
      </c>
      <c r="Q52" t="s">
        <v>413</v>
      </c>
      <c r="R52" t="s">
        <v>414</v>
      </c>
      <c r="S52">
        <v>3</v>
      </c>
      <c r="T52" s="2">
        <v>0.15</v>
      </c>
      <c r="U52" t="s">
        <v>415</v>
      </c>
    </row>
    <row r="53" spans="1:21">
      <c r="A53">
        <v>174</v>
      </c>
      <c r="B53" t="s">
        <v>416</v>
      </c>
      <c r="C53" s="1">
        <v>44680</v>
      </c>
      <c r="D53" s="1">
        <v>44684</v>
      </c>
      <c r="E53" t="s">
        <v>36</v>
      </c>
      <c r="F53" t="s">
        <v>417</v>
      </c>
      <c r="G53" t="s">
        <v>418</v>
      </c>
      <c r="H53" t="s">
        <v>60</v>
      </c>
      <c r="I53" t="s">
        <v>26</v>
      </c>
      <c r="J53" t="s">
        <v>237</v>
      </c>
      <c r="K53" t="s">
        <v>237</v>
      </c>
      <c r="L53">
        <v>65350</v>
      </c>
      <c r="M53" t="s">
        <v>41</v>
      </c>
      <c r="N53" t="s">
        <v>419</v>
      </c>
      <c r="O53" t="s">
        <v>30</v>
      </c>
      <c r="P53" t="s">
        <v>120</v>
      </c>
      <c r="Q53" t="s">
        <v>420</v>
      </c>
      <c r="R53" t="s">
        <v>421</v>
      </c>
      <c r="S53">
        <v>7</v>
      </c>
      <c r="T53" s="2">
        <v>0.3</v>
      </c>
      <c r="U53" t="s">
        <v>422</v>
      </c>
    </row>
    <row r="54" spans="1:21">
      <c r="A54">
        <v>11</v>
      </c>
      <c r="B54" t="s">
        <v>423</v>
      </c>
      <c r="C54" s="1">
        <v>44684</v>
      </c>
      <c r="D54" s="1">
        <v>44686</v>
      </c>
      <c r="E54" t="s">
        <v>36</v>
      </c>
      <c r="F54" t="s">
        <v>424</v>
      </c>
      <c r="G54" t="s">
        <v>425</v>
      </c>
      <c r="H54" t="s">
        <v>60</v>
      </c>
      <c r="I54" t="s">
        <v>26</v>
      </c>
      <c r="J54" t="s">
        <v>61</v>
      </c>
      <c r="K54" t="s">
        <v>61</v>
      </c>
      <c r="L54">
        <v>44754</v>
      </c>
      <c r="M54" t="s">
        <v>62</v>
      </c>
      <c r="N54" t="s">
        <v>426</v>
      </c>
      <c r="O54" t="s">
        <v>43</v>
      </c>
      <c r="P54" t="s">
        <v>83</v>
      </c>
      <c r="Q54" t="s">
        <v>427</v>
      </c>
      <c r="R54" t="s">
        <v>428</v>
      </c>
      <c r="S54">
        <v>3</v>
      </c>
      <c r="T54" s="2">
        <v>0.05</v>
      </c>
      <c r="U54" t="s">
        <v>429</v>
      </c>
    </row>
    <row r="55" spans="1:21">
      <c r="A55">
        <v>140</v>
      </c>
      <c r="B55" t="s">
        <v>430</v>
      </c>
      <c r="C55" s="1">
        <v>44685</v>
      </c>
      <c r="D55" s="1">
        <v>44691</v>
      </c>
      <c r="E55" t="s">
        <v>22</v>
      </c>
      <c r="F55" t="s">
        <v>431</v>
      </c>
      <c r="G55" t="s">
        <v>432</v>
      </c>
      <c r="H55" t="s">
        <v>25</v>
      </c>
      <c r="I55" t="s">
        <v>26</v>
      </c>
      <c r="J55" t="s">
        <v>237</v>
      </c>
      <c r="K55" t="s">
        <v>237</v>
      </c>
      <c r="L55">
        <v>60939</v>
      </c>
      <c r="M55" t="s">
        <v>41</v>
      </c>
      <c r="N55" t="s">
        <v>433</v>
      </c>
      <c r="O55" t="s">
        <v>30</v>
      </c>
      <c r="P55" t="s">
        <v>222</v>
      </c>
      <c r="Q55" t="s">
        <v>434</v>
      </c>
      <c r="R55" t="s">
        <v>248</v>
      </c>
      <c r="S55">
        <v>5</v>
      </c>
      <c r="T55" s="2">
        <v>0.1</v>
      </c>
      <c r="U55" t="s">
        <v>435</v>
      </c>
    </row>
    <row r="56" spans="1:21">
      <c r="A56">
        <v>156</v>
      </c>
      <c r="B56" t="s">
        <v>436</v>
      </c>
      <c r="C56" s="1">
        <v>44686</v>
      </c>
      <c r="D56" s="1">
        <v>44689</v>
      </c>
      <c r="E56" t="s">
        <v>49</v>
      </c>
      <c r="F56" t="s">
        <v>437</v>
      </c>
      <c r="G56" t="s">
        <v>211</v>
      </c>
      <c r="H56" t="s">
        <v>39</v>
      </c>
      <c r="I56" t="s">
        <v>26</v>
      </c>
      <c r="J56" t="s">
        <v>438</v>
      </c>
      <c r="K56" t="s">
        <v>438</v>
      </c>
      <c r="L56">
        <v>37716</v>
      </c>
      <c r="M56" t="s">
        <v>28</v>
      </c>
      <c r="N56" t="s">
        <v>439</v>
      </c>
      <c r="O56" t="s">
        <v>43</v>
      </c>
      <c r="P56" t="s">
        <v>189</v>
      </c>
      <c r="Q56" t="s">
        <v>440</v>
      </c>
      <c r="R56" t="s">
        <v>441</v>
      </c>
      <c r="S56">
        <v>3</v>
      </c>
      <c r="T56" s="2">
        <v>0.5</v>
      </c>
      <c r="U56" t="s">
        <v>442</v>
      </c>
    </row>
    <row r="57" spans="1:21">
      <c r="A57">
        <v>92</v>
      </c>
      <c r="B57" t="s">
        <v>443</v>
      </c>
      <c r="C57" s="1">
        <v>44687</v>
      </c>
      <c r="D57" s="1">
        <v>44693</v>
      </c>
      <c r="E57" t="s">
        <v>36</v>
      </c>
      <c r="F57" t="s">
        <v>444</v>
      </c>
      <c r="G57" t="s">
        <v>445</v>
      </c>
      <c r="H57" t="s">
        <v>25</v>
      </c>
      <c r="I57" t="s">
        <v>26</v>
      </c>
      <c r="J57" t="s">
        <v>81</v>
      </c>
      <c r="K57" t="s">
        <v>81</v>
      </c>
      <c r="L57">
        <v>14470</v>
      </c>
      <c r="M57" t="s">
        <v>62</v>
      </c>
      <c r="N57" t="s">
        <v>97</v>
      </c>
      <c r="O57" t="s">
        <v>64</v>
      </c>
      <c r="P57" t="s">
        <v>405</v>
      </c>
      <c r="Q57" t="s">
        <v>446</v>
      </c>
      <c r="R57" t="s">
        <v>447</v>
      </c>
      <c r="S57">
        <v>6</v>
      </c>
      <c r="T57" s="2">
        <v>0.1</v>
      </c>
      <c r="U57" t="s">
        <v>448</v>
      </c>
    </row>
    <row r="58" spans="1:21">
      <c r="A58">
        <v>93</v>
      </c>
      <c r="B58" t="s">
        <v>449</v>
      </c>
      <c r="C58" s="1">
        <v>44690</v>
      </c>
      <c r="D58" s="1">
        <v>44694</v>
      </c>
      <c r="E58" t="s">
        <v>36</v>
      </c>
      <c r="F58" t="s">
        <v>450</v>
      </c>
      <c r="G58" t="s">
        <v>451</v>
      </c>
      <c r="H58" t="s">
        <v>60</v>
      </c>
      <c r="I58" t="s">
        <v>26</v>
      </c>
      <c r="J58" t="s">
        <v>173</v>
      </c>
      <c r="K58" t="s">
        <v>173</v>
      </c>
      <c r="L58">
        <v>47208</v>
      </c>
      <c r="M58" t="s">
        <v>73</v>
      </c>
      <c r="N58" t="s">
        <v>452</v>
      </c>
      <c r="O58" t="s">
        <v>43</v>
      </c>
      <c r="P58" t="s">
        <v>44</v>
      </c>
      <c r="Q58" t="s">
        <v>453</v>
      </c>
      <c r="R58" t="s">
        <v>454</v>
      </c>
      <c r="S58">
        <v>7</v>
      </c>
      <c r="T58" s="2">
        <v>0.15</v>
      </c>
      <c r="U58" t="s">
        <v>455</v>
      </c>
    </row>
    <row r="59" spans="1:21">
      <c r="A59">
        <v>479</v>
      </c>
      <c r="B59" t="s">
        <v>456</v>
      </c>
      <c r="C59" s="1">
        <v>44690</v>
      </c>
      <c r="D59" s="1">
        <v>44693</v>
      </c>
      <c r="E59" t="s">
        <v>22</v>
      </c>
      <c r="F59" t="s">
        <v>457</v>
      </c>
      <c r="G59" t="s">
        <v>458</v>
      </c>
      <c r="H59" t="s">
        <v>25</v>
      </c>
      <c r="I59" t="s">
        <v>26</v>
      </c>
      <c r="J59" t="s">
        <v>150</v>
      </c>
      <c r="K59" t="s">
        <v>150</v>
      </c>
      <c r="L59">
        <v>82936</v>
      </c>
      <c r="M59" t="s">
        <v>73</v>
      </c>
      <c r="N59" t="s">
        <v>213</v>
      </c>
      <c r="O59" t="s">
        <v>43</v>
      </c>
      <c r="P59" t="s">
        <v>166</v>
      </c>
      <c r="Q59" t="s">
        <v>459</v>
      </c>
      <c r="R59" t="s">
        <v>460</v>
      </c>
      <c r="S59">
        <v>1</v>
      </c>
      <c r="T59" s="2">
        <v>0.1</v>
      </c>
      <c r="U59" t="s">
        <v>461</v>
      </c>
    </row>
    <row r="60" spans="1:21">
      <c r="A60">
        <v>262</v>
      </c>
      <c r="B60" t="s">
        <v>462</v>
      </c>
      <c r="C60" s="1">
        <v>44691</v>
      </c>
      <c r="D60" s="1">
        <v>44694</v>
      </c>
      <c r="E60" t="s">
        <v>36</v>
      </c>
      <c r="F60" t="s">
        <v>463</v>
      </c>
      <c r="G60" t="s">
        <v>464</v>
      </c>
      <c r="H60" t="s">
        <v>25</v>
      </c>
      <c r="I60" t="s">
        <v>26</v>
      </c>
      <c r="J60" t="s">
        <v>438</v>
      </c>
      <c r="K60" t="s">
        <v>438</v>
      </c>
      <c r="L60">
        <v>58899</v>
      </c>
      <c r="M60" t="s">
        <v>28</v>
      </c>
      <c r="N60" t="s">
        <v>465</v>
      </c>
      <c r="O60" t="s">
        <v>43</v>
      </c>
      <c r="P60" t="s">
        <v>189</v>
      </c>
      <c r="Q60" t="s">
        <v>466</v>
      </c>
      <c r="R60" t="s">
        <v>467</v>
      </c>
      <c r="S60">
        <v>5</v>
      </c>
      <c r="T60" s="2">
        <v>0.3</v>
      </c>
      <c r="U60" t="s">
        <v>468</v>
      </c>
    </row>
    <row r="61" spans="1:21">
      <c r="A61">
        <v>89</v>
      </c>
      <c r="B61" t="s">
        <v>469</v>
      </c>
      <c r="C61" s="1">
        <v>44691</v>
      </c>
      <c r="D61" s="1">
        <v>44693</v>
      </c>
      <c r="E61" t="s">
        <v>22</v>
      </c>
      <c r="F61" t="s">
        <v>470</v>
      </c>
      <c r="G61" t="s">
        <v>471</v>
      </c>
      <c r="H61" t="s">
        <v>25</v>
      </c>
      <c r="I61" t="s">
        <v>26</v>
      </c>
      <c r="J61" t="s">
        <v>150</v>
      </c>
      <c r="K61" t="s">
        <v>150</v>
      </c>
      <c r="L61">
        <v>62233</v>
      </c>
      <c r="M61" t="s">
        <v>73</v>
      </c>
      <c r="N61" t="s">
        <v>472</v>
      </c>
      <c r="O61" t="s">
        <v>43</v>
      </c>
      <c r="P61" t="s">
        <v>214</v>
      </c>
      <c r="Q61" t="s">
        <v>473</v>
      </c>
      <c r="R61" t="s">
        <v>474</v>
      </c>
      <c r="S61">
        <v>5</v>
      </c>
      <c r="T61" s="2">
        <v>0.05</v>
      </c>
      <c r="U61" t="s">
        <v>475</v>
      </c>
    </row>
    <row r="62" spans="1:21">
      <c r="A62">
        <v>315</v>
      </c>
      <c r="B62" t="s">
        <v>476</v>
      </c>
      <c r="C62" s="1">
        <v>44691</v>
      </c>
      <c r="D62" s="1">
        <v>44694</v>
      </c>
      <c r="E62" t="s">
        <v>36</v>
      </c>
      <c r="F62" t="s">
        <v>477</v>
      </c>
      <c r="G62" t="s">
        <v>478</v>
      </c>
      <c r="H62" t="s">
        <v>25</v>
      </c>
      <c r="I62" t="s">
        <v>26</v>
      </c>
      <c r="J62" t="s">
        <v>81</v>
      </c>
      <c r="K62" t="s">
        <v>81</v>
      </c>
      <c r="L62">
        <v>42167</v>
      </c>
      <c r="M62" t="s">
        <v>62</v>
      </c>
      <c r="N62" t="s">
        <v>479</v>
      </c>
      <c r="O62" t="s">
        <v>64</v>
      </c>
      <c r="P62" t="s">
        <v>405</v>
      </c>
      <c r="Q62" t="s">
        <v>480</v>
      </c>
      <c r="R62" t="s">
        <v>481</v>
      </c>
      <c r="S62">
        <v>3</v>
      </c>
      <c r="T62" s="2">
        <v>0</v>
      </c>
      <c r="U62" t="s">
        <v>482</v>
      </c>
    </row>
    <row r="63" spans="1:21">
      <c r="A63">
        <v>51</v>
      </c>
      <c r="B63" t="s">
        <v>483</v>
      </c>
      <c r="C63" s="1">
        <v>44691</v>
      </c>
      <c r="D63" s="1">
        <v>44692</v>
      </c>
      <c r="E63" t="s">
        <v>49</v>
      </c>
      <c r="F63" t="s">
        <v>484</v>
      </c>
      <c r="G63" t="s">
        <v>485</v>
      </c>
      <c r="H63" t="s">
        <v>39</v>
      </c>
      <c r="I63" t="s">
        <v>26</v>
      </c>
      <c r="J63" t="s">
        <v>40</v>
      </c>
      <c r="K63" t="s">
        <v>40</v>
      </c>
      <c r="L63">
        <v>12443</v>
      </c>
      <c r="M63" t="s">
        <v>41</v>
      </c>
      <c r="N63" t="s">
        <v>486</v>
      </c>
      <c r="O63" t="s">
        <v>43</v>
      </c>
      <c r="P63" t="s">
        <v>83</v>
      </c>
      <c r="Q63" t="s">
        <v>487</v>
      </c>
      <c r="R63" t="s">
        <v>488</v>
      </c>
      <c r="S63">
        <v>2</v>
      </c>
      <c r="T63" s="2">
        <v>0.1</v>
      </c>
      <c r="U63" t="s">
        <v>489</v>
      </c>
    </row>
    <row r="64" spans="1:21">
      <c r="A64">
        <v>146</v>
      </c>
      <c r="B64" t="s">
        <v>490</v>
      </c>
      <c r="C64" s="1">
        <v>44693</v>
      </c>
      <c r="D64" s="1">
        <v>44697</v>
      </c>
      <c r="E64" t="s">
        <v>382</v>
      </c>
      <c r="F64" t="s">
        <v>491</v>
      </c>
      <c r="G64" t="s">
        <v>492</v>
      </c>
      <c r="H64" t="s">
        <v>39</v>
      </c>
      <c r="I64" t="s">
        <v>26</v>
      </c>
      <c r="J64" t="s">
        <v>27</v>
      </c>
      <c r="K64" t="s">
        <v>27</v>
      </c>
      <c r="L64">
        <v>38933</v>
      </c>
      <c r="M64" t="s">
        <v>28</v>
      </c>
      <c r="N64" t="s">
        <v>493</v>
      </c>
      <c r="O64" t="s">
        <v>30</v>
      </c>
      <c r="P64" t="s">
        <v>197</v>
      </c>
      <c r="Q64" t="s">
        <v>494</v>
      </c>
      <c r="R64" t="s">
        <v>495</v>
      </c>
      <c r="S64">
        <v>2</v>
      </c>
      <c r="T64" s="2">
        <v>0.15</v>
      </c>
      <c r="U64" t="s">
        <v>496</v>
      </c>
    </row>
    <row r="65" spans="1:21">
      <c r="A65">
        <v>556</v>
      </c>
      <c r="B65" t="s">
        <v>497</v>
      </c>
      <c r="C65" s="1">
        <v>44693</v>
      </c>
      <c r="D65" s="1">
        <v>44695</v>
      </c>
      <c r="E65" t="s">
        <v>49</v>
      </c>
      <c r="F65" t="s">
        <v>498</v>
      </c>
      <c r="G65" t="s">
        <v>195</v>
      </c>
      <c r="H65" t="s">
        <v>60</v>
      </c>
      <c r="I65" t="s">
        <v>26</v>
      </c>
      <c r="J65" t="s">
        <v>229</v>
      </c>
      <c r="K65" t="s">
        <v>229</v>
      </c>
      <c r="L65">
        <v>69254</v>
      </c>
      <c r="M65" t="s">
        <v>73</v>
      </c>
      <c r="N65" t="s">
        <v>499</v>
      </c>
      <c r="O65" t="s">
        <v>43</v>
      </c>
      <c r="P65" t="s">
        <v>44</v>
      </c>
      <c r="Q65" t="s">
        <v>500</v>
      </c>
      <c r="R65" t="s">
        <v>501</v>
      </c>
      <c r="S65">
        <v>4</v>
      </c>
      <c r="T65" s="2">
        <v>0.15</v>
      </c>
      <c r="U65" t="s">
        <v>502</v>
      </c>
    </row>
    <row r="66" spans="1:21">
      <c r="A66">
        <v>357</v>
      </c>
      <c r="B66" t="s">
        <v>503</v>
      </c>
      <c r="C66" s="1">
        <v>44694</v>
      </c>
      <c r="D66" s="1">
        <v>44695</v>
      </c>
      <c r="E66" t="s">
        <v>36</v>
      </c>
      <c r="F66" t="s">
        <v>504</v>
      </c>
      <c r="G66" t="s">
        <v>505</v>
      </c>
      <c r="H66" t="s">
        <v>25</v>
      </c>
      <c r="I66" t="s">
        <v>26</v>
      </c>
      <c r="J66" t="s">
        <v>81</v>
      </c>
      <c r="K66" t="s">
        <v>81</v>
      </c>
      <c r="L66">
        <v>42930</v>
      </c>
      <c r="M66" t="s">
        <v>62</v>
      </c>
      <c r="N66" t="s">
        <v>89</v>
      </c>
      <c r="O66" t="s">
        <v>30</v>
      </c>
      <c r="P66" t="s">
        <v>31</v>
      </c>
      <c r="Q66" t="s">
        <v>506</v>
      </c>
      <c r="R66" t="s">
        <v>507</v>
      </c>
      <c r="S66">
        <v>3</v>
      </c>
      <c r="T66" s="2">
        <v>0.2</v>
      </c>
      <c r="U66" t="s">
        <v>508</v>
      </c>
    </row>
    <row r="67" spans="1:21">
      <c r="A67">
        <v>380</v>
      </c>
      <c r="B67" t="s">
        <v>509</v>
      </c>
      <c r="C67" s="1">
        <v>44694</v>
      </c>
      <c r="D67" s="1">
        <v>44696</v>
      </c>
      <c r="E67" t="s">
        <v>36</v>
      </c>
      <c r="F67" t="s">
        <v>510</v>
      </c>
      <c r="G67" t="s">
        <v>511</v>
      </c>
      <c r="H67" t="s">
        <v>25</v>
      </c>
      <c r="I67" t="s">
        <v>26</v>
      </c>
      <c r="J67" t="s">
        <v>229</v>
      </c>
      <c r="K67" t="s">
        <v>229</v>
      </c>
      <c r="L67">
        <v>44160</v>
      </c>
      <c r="M67" t="s">
        <v>73</v>
      </c>
      <c r="N67" t="s">
        <v>512</v>
      </c>
      <c r="O67" t="s">
        <v>30</v>
      </c>
      <c r="P67" t="s">
        <v>222</v>
      </c>
      <c r="Q67" t="s">
        <v>513</v>
      </c>
      <c r="R67" t="s">
        <v>514</v>
      </c>
      <c r="S67">
        <v>2</v>
      </c>
      <c r="T67" s="2">
        <v>0.1</v>
      </c>
      <c r="U67" t="s">
        <v>515</v>
      </c>
    </row>
    <row r="68" spans="1:21">
      <c r="A68">
        <v>241</v>
      </c>
      <c r="B68" t="s">
        <v>516</v>
      </c>
      <c r="C68" s="1">
        <v>44698</v>
      </c>
      <c r="D68" s="1">
        <v>44700</v>
      </c>
      <c r="E68" t="s">
        <v>22</v>
      </c>
      <c r="F68" t="s">
        <v>517</v>
      </c>
      <c r="G68" t="s">
        <v>518</v>
      </c>
      <c r="H68" t="s">
        <v>25</v>
      </c>
      <c r="I68" t="s">
        <v>26</v>
      </c>
      <c r="J68" t="s">
        <v>96</v>
      </c>
      <c r="K68" t="s">
        <v>96</v>
      </c>
      <c r="L68">
        <v>97234</v>
      </c>
      <c r="M68" t="s">
        <v>28</v>
      </c>
      <c r="N68" t="s">
        <v>519</v>
      </c>
      <c r="O68" t="s">
        <v>43</v>
      </c>
      <c r="P68" t="s">
        <v>189</v>
      </c>
      <c r="Q68" t="s">
        <v>520</v>
      </c>
      <c r="R68" t="s">
        <v>521</v>
      </c>
      <c r="S68">
        <v>6</v>
      </c>
      <c r="T68" s="2">
        <v>0</v>
      </c>
      <c r="U68" t="s">
        <v>522</v>
      </c>
    </row>
    <row r="69" spans="1:21">
      <c r="A69">
        <v>107</v>
      </c>
      <c r="B69" t="s">
        <v>523</v>
      </c>
      <c r="C69" s="1">
        <v>44704</v>
      </c>
      <c r="D69" s="1">
        <v>44710</v>
      </c>
      <c r="E69" t="s">
        <v>36</v>
      </c>
      <c r="F69" t="s">
        <v>524</v>
      </c>
      <c r="G69" t="s">
        <v>525</v>
      </c>
      <c r="H69" t="s">
        <v>60</v>
      </c>
      <c r="I69" t="s">
        <v>26</v>
      </c>
      <c r="J69" t="s">
        <v>229</v>
      </c>
      <c r="K69" t="s">
        <v>229</v>
      </c>
      <c r="L69">
        <v>88222</v>
      </c>
      <c r="M69" t="s">
        <v>73</v>
      </c>
      <c r="N69" t="s">
        <v>143</v>
      </c>
      <c r="O69" t="s">
        <v>43</v>
      </c>
      <c r="P69" t="s">
        <v>83</v>
      </c>
      <c r="Q69" t="s">
        <v>526</v>
      </c>
      <c r="R69" t="s">
        <v>527</v>
      </c>
      <c r="S69">
        <v>6</v>
      </c>
      <c r="T69" s="2">
        <v>0.3</v>
      </c>
      <c r="U69" t="s">
        <v>528</v>
      </c>
    </row>
    <row r="70" spans="1:21">
      <c r="A70">
        <v>443</v>
      </c>
      <c r="B70" t="s">
        <v>529</v>
      </c>
      <c r="C70" s="1">
        <v>44705</v>
      </c>
      <c r="D70" s="1">
        <v>44707</v>
      </c>
      <c r="E70" t="s">
        <v>36</v>
      </c>
      <c r="F70" t="s">
        <v>530</v>
      </c>
      <c r="G70" t="s">
        <v>370</v>
      </c>
      <c r="H70" t="s">
        <v>39</v>
      </c>
      <c r="I70" t="s">
        <v>26</v>
      </c>
      <c r="J70" t="s">
        <v>229</v>
      </c>
      <c r="K70" t="s">
        <v>229</v>
      </c>
      <c r="L70">
        <v>69072</v>
      </c>
      <c r="M70" t="s">
        <v>73</v>
      </c>
      <c r="N70" t="s">
        <v>531</v>
      </c>
      <c r="O70" t="s">
        <v>43</v>
      </c>
      <c r="P70" t="s">
        <v>44</v>
      </c>
      <c r="Q70" t="s">
        <v>54</v>
      </c>
      <c r="R70" t="s">
        <v>532</v>
      </c>
      <c r="S70">
        <v>6</v>
      </c>
      <c r="T70" s="2">
        <v>0.3</v>
      </c>
      <c r="U70" t="s">
        <v>533</v>
      </c>
    </row>
    <row r="71" spans="1:21">
      <c r="A71">
        <v>442</v>
      </c>
      <c r="B71" t="s">
        <v>534</v>
      </c>
      <c r="C71" s="1">
        <v>44706</v>
      </c>
      <c r="D71" s="1">
        <v>44710</v>
      </c>
      <c r="E71" t="s">
        <v>49</v>
      </c>
      <c r="F71" t="s">
        <v>535</v>
      </c>
      <c r="G71" t="s">
        <v>80</v>
      </c>
      <c r="H71" t="s">
        <v>25</v>
      </c>
      <c r="I71" t="s">
        <v>26</v>
      </c>
      <c r="J71" t="s">
        <v>52</v>
      </c>
      <c r="K71" t="s">
        <v>52</v>
      </c>
      <c r="L71">
        <v>88894</v>
      </c>
      <c r="M71" t="s">
        <v>41</v>
      </c>
      <c r="N71" t="s">
        <v>536</v>
      </c>
      <c r="O71" t="s">
        <v>30</v>
      </c>
      <c r="P71" t="s">
        <v>222</v>
      </c>
      <c r="Q71" t="s">
        <v>223</v>
      </c>
      <c r="R71" t="s">
        <v>537</v>
      </c>
      <c r="S71">
        <v>3</v>
      </c>
      <c r="T71" s="2">
        <v>0.3</v>
      </c>
      <c r="U71" t="s">
        <v>538</v>
      </c>
    </row>
    <row r="72" spans="1:21">
      <c r="A72">
        <v>243</v>
      </c>
      <c r="B72" t="s">
        <v>539</v>
      </c>
      <c r="C72" s="1">
        <v>44710</v>
      </c>
      <c r="D72" s="1">
        <v>44713</v>
      </c>
      <c r="E72" t="s">
        <v>36</v>
      </c>
      <c r="F72" t="s">
        <v>540</v>
      </c>
      <c r="G72" t="s">
        <v>541</v>
      </c>
      <c r="H72" t="s">
        <v>39</v>
      </c>
      <c r="I72" t="s">
        <v>26</v>
      </c>
      <c r="J72" t="s">
        <v>150</v>
      </c>
      <c r="K72" t="s">
        <v>150</v>
      </c>
      <c r="L72">
        <v>66683</v>
      </c>
      <c r="M72" t="s">
        <v>73</v>
      </c>
      <c r="N72" t="s">
        <v>542</v>
      </c>
      <c r="O72" t="s">
        <v>64</v>
      </c>
      <c r="P72" t="s">
        <v>65</v>
      </c>
      <c r="Q72" t="s">
        <v>543</v>
      </c>
      <c r="R72" t="s">
        <v>544</v>
      </c>
      <c r="S72">
        <v>2</v>
      </c>
      <c r="T72" s="2">
        <v>0</v>
      </c>
      <c r="U72" t="s">
        <v>545</v>
      </c>
    </row>
    <row r="73" spans="1:21">
      <c r="A73">
        <v>425</v>
      </c>
      <c r="B73" t="s">
        <v>546</v>
      </c>
      <c r="C73" s="1">
        <v>44710</v>
      </c>
      <c r="D73" s="1">
        <v>44716</v>
      </c>
      <c r="E73" t="s">
        <v>22</v>
      </c>
      <c r="F73" t="s">
        <v>547</v>
      </c>
      <c r="G73" t="s">
        <v>485</v>
      </c>
      <c r="H73" t="s">
        <v>25</v>
      </c>
      <c r="I73" t="s">
        <v>26</v>
      </c>
      <c r="J73" t="s">
        <v>157</v>
      </c>
      <c r="K73" t="s">
        <v>157</v>
      </c>
      <c r="L73">
        <v>16256</v>
      </c>
      <c r="M73" t="s">
        <v>62</v>
      </c>
      <c r="N73" t="s">
        <v>548</v>
      </c>
      <c r="O73" t="s">
        <v>64</v>
      </c>
      <c r="P73" t="s">
        <v>105</v>
      </c>
      <c r="Q73" t="s">
        <v>549</v>
      </c>
      <c r="R73" t="s">
        <v>550</v>
      </c>
      <c r="S73">
        <v>1</v>
      </c>
      <c r="T73" s="2">
        <v>0.4</v>
      </c>
      <c r="U73" t="s">
        <v>551</v>
      </c>
    </row>
    <row r="74" spans="1:21">
      <c r="A74">
        <v>254</v>
      </c>
      <c r="B74" t="s">
        <v>552</v>
      </c>
      <c r="C74" s="1">
        <v>44711</v>
      </c>
      <c r="D74" s="1">
        <v>44715</v>
      </c>
      <c r="E74" t="s">
        <v>49</v>
      </c>
      <c r="F74" t="s">
        <v>553</v>
      </c>
      <c r="G74" t="s">
        <v>554</v>
      </c>
      <c r="H74" t="s">
        <v>25</v>
      </c>
      <c r="I74" t="s">
        <v>26</v>
      </c>
      <c r="J74" t="s">
        <v>52</v>
      </c>
      <c r="K74" t="s">
        <v>52</v>
      </c>
      <c r="L74">
        <v>45699</v>
      </c>
      <c r="M74" t="s">
        <v>41</v>
      </c>
      <c r="N74" t="s">
        <v>555</v>
      </c>
      <c r="O74" t="s">
        <v>43</v>
      </c>
      <c r="P74" t="s">
        <v>128</v>
      </c>
      <c r="Q74" t="s">
        <v>556</v>
      </c>
      <c r="R74" t="s">
        <v>557</v>
      </c>
      <c r="S74">
        <v>3</v>
      </c>
      <c r="T74" s="2">
        <v>0.4</v>
      </c>
      <c r="U74" t="s">
        <v>558</v>
      </c>
    </row>
    <row r="75" spans="1:21">
      <c r="A75">
        <v>576</v>
      </c>
      <c r="B75" t="s">
        <v>559</v>
      </c>
      <c r="C75" s="1">
        <v>44711</v>
      </c>
      <c r="D75" s="1">
        <v>44712</v>
      </c>
      <c r="E75" t="s">
        <v>36</v>
      </c>
      <c r="F75" t="s">
        <v>560</v>
      </c>
      <c r="G75" t="s">
        <v>561</v>
      </c>
      <c r="H75" t="s">
        <v>25</v>
      </c>
      <c r="I75" t="s">
        <v>26</v>
      </c>
      <c r="J75" t="s">
        <v>173</v>
      </c>
      <c r="K75" t="s">
        <v>173</v>
      </c>
      <c r="L75">
        <v>93529</v>
      </c>
      <c r="M75" t="s">
        <v>73</v>
      </c>
      <c r="N75" t="s">
        <v>562</v>
      </c>
      <c r="O75" t="s">
        <v>43</v>
      </c>
      <c r="P75" t="s">
        <v>214</v>
      </c>
      <c r="Q75" t="s">
        <v>563</v>
      </c>
      <c r="R75" t="s">
        <v>564</v>
      </c>
      <c r="S75">
        <v>4</v>
      </c>
      <c r="T75" s="2">
        <v>0.2</v>
      </c>
      <c r="U75" t="s">
        <v>565</v>
      </c>
    </row>
    <row r="76" spans="1:21">
      <c r="A76">
        <v>583</v>
      </c>
      <c r="B76" t="s">
        <v>566</v>
      </c>
      <c r="C76" s="1">
        <v>44712</v>
      </c>
      <c r="D76" s="1">
        <v>44713</v>
      </c>
      <c r="E76" t="s">
        <v>49</v>
      </c>
      <c r="F76" t="s">
        <v>567</v>
      </c>
      <c r="G76" t="s">
        <v>568</v>
      </c>
      <c r="H76" t="s">
        <v>39</v>
      </c>
      <c r="I76" t="s">
        <v>26</v>
      </c>
      <c r="J76" t="s">
        <v>72</v>
      </c>
      <c r="K76" t="s">
        <v>72</v>
      </c>
      <c r="L76">
        <v>38180</v>
      </c>
      <c r="M76" t="s">
        <v>73</v>
      </c>
      <c r="N76" t="s">
        <v>569</v>
      </c>
      <c r="O76" t="s">
        <v>30</v>
      </c>
      <c r="P76" t="s">
        <v>222</v>
      </c>
      <c r="Q76" t="s">
        <v>570</v>
      </c>
      <c r="R76" t="s">
        <v>571</v>
      </c>
      <c r="S76">
        <v>2</v>
      </c>
      <c r="T76" s="2">
        <v>0.2</v>
      </c>
      <c r="U76" t="s">
        <v>572</v>
      </c>
    </row>
    <row r="77" spans="1:21">
      <c r="A77">
        <v>317</v>
      </c>
      <c r="B77" t="s">
        <v>573</v>
      </c>
      <c r="C77" s="1">
        <v>44713</v>
      </c>
      <c r="D77" s="1">
        <v>44715</v>
      </c>
      <c r="E77" t="s">
        <v>49</v>
      </c>
      <c r="F77" t="s">
        <v>574</v>
      </c>
      <c r="G77" t="s">
        <v>561</v>
      </c>
      <c r="H77" t="s">
        <v>25</v>
      </c>
      <c r="I77" t="s">
        <v>26</v>
      </c>
      <c r="J77" t="s">
        <v>173</v>
      </c>
      <c r="K77" t="s">
        <v>173</v>
      </c>
      <c r="L77">
        <v>80190</v>
      </c>
      <c r="M77" t="s">
        <v>73</v>
      </c>
      <c r="N77" t="s">
        <v>575</v>
      </c>
      <c r="O77" t="s">
        <v>30</v>
      </c>
      <c r="P77" t="s">
        <v>120</v>
      </c>
      <c r="Q77" t="s">
        <v>576</v>
      </c>
      <c r="R77" t="s">
        <v>577</v>
      </c>
      <c r="S77">
        <v>2</v>
      </c>
      <c r="T77" s="2">
        <v>0.15</v>
      </c>
      <c r="U77" t="s">
        <v>578</v>
      </c>
    </row>
    <row r="78" spans="1:21">
      <c r="A78">
        <v>112</v>
      </c>
      <c r="B78" t="s">
        <v>579</v>
      </c>
      <c r="C78" s="1">
        <v>44716</v>
      </c>
      <c r="D78" s="1">
        <v>44719</v>
      </c>
      <c r="E78" t="s">
        <v>36</v>
      </c>
      <c r="F78" t="s">
        <v>580</v>
      </c>
      <c r="G78" t="s">
        <v>561</v>
      </c>
      <c r="H78" t="s">
        <v>39</v>
      </c>
      <c r="I78" t="s">
        <v>26</v>
      </c>
      <c r="J78" t="s">
        <v>81</v>
      </c>
      <c r="K78" t="s">
        <v>81</v>
      </c>
      <c r="L78">
        <v>15542</v>
      </c>
      <c r="M78" t="s">
        <v>62</v>
      </c>
      <c r="N78" t="s">
        <v>581</v>
      </c>
      <c r="O78" t="s">
        <v>30</v>
      </c>
      <c r="P78" t="s">
        <v>31</v>
      </c>
      <c r="Q78" t="s">
        <v>582</v>
      </c>
      <c r="R78" t="s">
        <v>583</v>
      </c>
      <c r="S78">
        <v>5</v>
      </c>
      <c r="T78" s="2">
        <v>0.3</v>
      </c>
      <c r="U78" t="s">
        <v>584</v>
      </c>
    </row>
    <row r="79" spans="1:21">
      <c r="A79">
        <v>373</v>
      </c>
      <c r="B79" t="s">
        <v>585</v>
      </c>
      <c r="C79" s="1">
        <v>44718</v>
      </c>
      <c r="D79" s="1">
        <v>44722</v>
      </c>
      <c r="E79" t="s">
        <v>22</v>
      </c>
      <c r="F79" t="s">
        <v>586</v>
      </c>
      <c r="G79" t="s">
        <v>587</v>
      </c>
      <c r="H79" t="s">
        <v>25</v>
      </c>
      <c r="I79" t="s">
        <v>26</v>
      </c>
      <c r="J79" t="s">
        <v>96</v>
      </c>
      <c r="K79" t="s">
        <v>96</v>
      </c>
      <c r="L79">
        <v>74824</v>
      </c>
      <c r="M79" t="s">
        <v>28</v>
      </c>
      <c r="N79" t="s">
        <v>588</v>
      </c>
      <c r="O79" t="s">
        <v>43</v>
      </c>
      <c r="P79" t="s">
        <v>214</v>
      </c>
      <c r="Q79" t="s">
        <v>589</v>
      </c>
      <c r="R79" t="s">
        <v>590</v>
      </c>
      <c r="S79">
        <v>3</v>
      </c>
      <c r="T79" s="2">
        <v>0.3</v>
      </c>
      <c r="U79" t="s">
        <v>591</v>
      </c>
    </row>
    <row r="80" spans="1:21">
      <c r="A80">
        <v>563</v>
      </c>
      <c r="B80" t="s">
        <v>592</v>
      </c>
      <c r="C80" s="1">
        <v>44719</v>
      </c>
      <c r="D80" s="1">
        <v>44722</v>
      </c>
      <c r="E80" t="s">
        <v>49</v>
      </c>
      <c r="F80" t="s">
        <v>593</v>
      </c>
      <c r="G80" t="s">
        <v>594</v>
      </c>
      <c r="H80" t="s">
        <v>39</v>
      </c>
      <c r="I80" t="s">
        <v>26</v>
      </c>
      <c r="J80" t="s">
        <v>150</v>
      </c>
      <c r="K80" t="s">
        <v>150</v>
      </c>
      <c r="L80">
        <v>24859</v>
      </c>
      <c r="M80" t="s">
        <v>73</v>
      </c>
      <c r="N80" t="s">
        <v>595</v>
      </c>
      <c r="O80" t="s">
        <v>30</v>
      </c>
      <c r="P80" t="s">
        <v>222</v>
      </c>
      <c r="Q80" t="s">
        <v>596</v>
      </c>
      <c r="R80" t="s">
        <v>597</v>
      </c>
      <c r="S80">
        <v>7</v>
      </c>
      <c r="T80" s="2">
        <v>0.1</v>
      </c>
      <c r="U80" t="s">
        <v>598</v>
      </c>
    </row>
    <row r="81" spans="1:21">
      <c r="A81">
        <v>125</v>
      </c>
      <c r="B81" t="s">
        <v>599</v>
      </c>
      <c r="C81" s="1">
        <v>44720</v>
      </c>
      <c r="D81" s="1">
        <v>44721</v>
      </c>
      <c r="E81" t="s">
        <v>49</v>
      </c>
      <c r="F81" t="s">
        <v>600</v>
      </c>
      <c r="G81" t="s">
        <v>601</v>
      </c>
      <c r="H81" t="s">
        <v>25</v>
      </c>
      <c r="I81" t="s">
        <v>26</v>
      </c>
      <c r="J81" t="s">
        <v>40</v>
      </c>
      <c r="K81" t="s">
        <v>40</v>
      </c>
      <c r="L81">
        <v>86256</v>
      </c>
      <c r="M81" t="s">
        <v>41</v>
      </c>
      <c r="N81" t="s">
        <v>602</v>
      </c>
      <c r="O81" t="s">
        <v>43</v>
      </c>
      <c r="P81" t="s">
        <v>189</v>
      </c>
      <c r="Q81" t="s">
        <v>603</v>
      </c>
      <c r="R81" t="s">
        <v>604</v>
      </c>
      <c r="S81">
        <v>3</v>
      </c>
      <c r="T81" s="2">
        <v>0.15</v>
      </c>
      <c r="U81" t="s">
        <v>605</v>
      </c>
    </row>
    <row r="82" spans="1:21">
      <c r="A82">
        <v>87</v>
      </c>
      <c r="B82" t="s">
        <v>606</v>
      </c>
      <c r="C82" s="1">
        <v>44720</v>
      </c>
      <c r="D82" s="1">
        <v>44723</v>
      </c>
      <c r="E82" t="s">
        <v>49</v>
      </c>
      <c r="F82" t="s">
        <v>607</v>
      </c>
      <c r="G82" t="s">
        <v>220</v>
      </c>
      <c r="H82" t="s">
        <v>39</v>
      </c>
      <c r="I82" t="s">
        <v>26</v>
      </c>
      <c r="J82" t="s">
        <v>27</v>
      </c>
      <c r="K82" t="s">
        <v>27</v>
      </c>
      <c r="L82">
        <v>58364</v>
      </c>
      <c r="M82" t="s">
        <v>28</v>
      </c>
      <c r="N82" t="s">
        <v>608</v>
      </c>
      <c r="O82" t="s">
        <v>43</v>
      </c>
      <c r="P82" t="s">
        <v>83</v>
      </c>
      <c r="Q82" t="s">
        <v>609</v>
      </c>
      <c r="R82" t="s">
        <v>610</v>
      </c>
      <c r="S82">
        <v>4</v>
      </c>
      <c r="T82" s="2">
        <v>0.3</v>
      </c>
      <c r="U82" t="s">
        <v>611</v>
      </c>
    </row>
    <row r="83" spans="1:21">
      <c r="A83">
        <v>417</v>
      </c>
      <c r="B83" t="s">
        <v>612</v>
      </c>
      <c r="C83" s="1">
        <v>44722</v>
      </c>
      <c r="D83" s="1">
        <v>44723</v>
      </c>
      <c r="E83" t="s">
        <v>36</v>
      </c>
      <c r="F83" t="s">
        <v>613</v>
      </c>
      <c r="G83" t="s">
        <v>614</v>
      </c>
      <c r="H83" t="s">
        <v>60</v>
      </c>
      <c r="I83" t="s">
        <v>26</v>
      </c>
      <c r="J83" t="s">
        <v>61</v>
      </c>
      <c r="K83" t="s">
        <v>61</v>
      </c>
      <c r="L83">
        <v>53052</v>
      </c>
      <c r="M83" t="s">
        <v>62</v>
      </c>
      <c r="N83" t="s">
        <v>465</v>
      </c>
      <c r="O83" t="s">
        <v>43</v>
      </c>
      <c r="P83" t="s">
        <v>128</v>
      </c>
      <c r="Q83" t="s">
        <v>615</v>
      </c>
      <c r="R83" t="s">
        <v>616</v>
      </c>
      <c r="S83">
        <v>3</v>
      </c>
      <c r="T83" s="2">
        <v>0</v>
      </c>
      <c r="U83" t="s">
        <v>617</v>
      </c>
    </row>
    <row r="84" spans="1:21">
      <c r="A84">
        <v>159</v>
      </c>
      <c r="B84" t="s">
        <v>618</v>
      </c>
      <c r="C84" s="1">
        <v>44725</v>
      </c>
      <c r="D84" s="1">
        <v>44730</v>
      </c>
      <c r="E84" t="s">
        <v>36</v>
      </c>
      <c r="F84" t="s">
        <v>619</v>
      </c>
      <c r="G84" t="s">
        <v>485</v>
      </c>
      <c r="H84" t="s">
        <v>39</v>
      </c>
      <c r="I84" t="s">
        <v>26</v>
      </c>
      <c r="J84" t="s">
        <v>40</v>
      </c>
      <c r="K84" t="s">
        <v>40</v>
      </c>
      <c r="L84">
        <v>39689</v>
      </c>
      <c r="M84" t="s">
        <v>41</v>
      </c>
      <c r="N84" t="s">
        <v>620</v>
      </c>
      <c r="O84" t="s">
        <v>64</v>
      </c>
      <c r="P84" t="s">
        <v>65</v>
      </c>
      <c r="Q84" t="s">
        <v>621</v>
      </c>
      <c r="R84" t="s">
        <v>622</v>
      </c>
      <c r="S84">
        <v>6</v>
      </c>
      <c r="T84" s="2">
        <v>0.3</v>
      </c>
      <c r="U84" t="s">
        <v>623</v>
      </c>
    </row>
    <row r="85" spans="1:21">
      <c r="A85">
        <v>423</v>
      </c>
      <c r="B85" t="s">
        <v>624</v>
      </c>
      <c r="C85" s="1">
        <v>44726</v>
      </c>
      <c r="D85" s="1">
        <v>44729</v>
      </c>
      <c r="E85" t="s">
        <v>49</v>
      </c>
      <c r="F85" t="s">
        <v>625</v>
      </c>
      <c r="G85" t="s">
        <v>626</v>
      </c>
      <c r="H85" t="s">
        <v>39</v>
      </c>
      <c r="I85" t="s">
        <v>26</v>
      </c>
      <c r="J85" t="s">
        <v>81</v>
      </c>
      <c r="K85" t="s">
        <v>81</v>
      </c>
      <c r="L85">
        <v>71914</v>
      </c>
      <c r="M85" t="s">
        <v>62</v>
      </c>
      <c r="N85" t="s">
        <v>627</v>
      </c>
      <c r="O85" t="s">
        <v>43</v>
      </c>
      <c r="P85" t="s">
        <v>214</v>
      </c>
      <c r="Q85" t="s">
        <v>628</v>
      </c>
      <c r="R85" t="s">
        <v>629</v>
      </c>
      <c r="S85">
        <v>3</v>
      </c>
      <c r="T85" s="2">
        <v>0.1</v>
      </c>
      <c r="U85" t="s">
        <v>630</v>
      </c>
    </row>
    <row r="86" spans="1:21">
      <c r="A86">
        <v>3</v>
      </c>
      <c r="B86" t="s">
        <v>631</v>
      </c>
      <c r="C86" s="1">
        <v>44728</v>
      </c>
      <c r="D86" s="1">
        <v>44729</v>
      </c>
      <c r="E86" t="s">
        <v>36</v>
      </c>
      <c r="F86" t="s">
        <v>632</v>
      </c>
      <c r="G86" t="s">
        <v>633</v>
      </c>
      <c r="H86" t="s">
        <v>25</v>
      </c>
      <c r="I86" t="s">
        <v>26</v>
      </c>
      <c r="J86" t="s">
        <v>229</v>
      </c>
      <c r="K86" t="s">
        <v>229</v>
      </c>
      <c r="L86">
        <v>77121</v>
      </c>
      <c r="M86" t="s">
        <v>73</v>
      </c>
      <c r="N86" t="s">
        <v>634</v>
      </c>
      <c r="O86" t="s">
        <v>64</v>
      </c>
      <c r="P86" t="s">
        <v>136</v>
      </c>
      <c r="Q86" t="s">
        <v>635</v>
      </c>
      <c r="R86" t="s">
        <v>636</v>
      </c>
      <c r="S86">
        <v>5</v>
      </c>
      <c r="T86" s="2">
        <v>0.3</v>
      </c>
      <c r="U86" t="s">
        <v>637</v>
      </c>
    </row>
    <row r="87" spans="1:21">
      <c r="A87">
        <v>30</v>
      </c>
      <c r="B87" t="s">
        <v>638</v>
      </c>
      <c r="C87" s="1">
        <v>44728</v>
      </c>
      <c r="D87" s="1">
        <v>44731</v>
      </c>
      <c r="E87" t="s">
        <v>36</v>
      </c>
      <c r="F87" t="s">
        <v>639</v>
      </c>
      <c r="G87" t="s">
        <v>640</v>
      </c>
      <c r="H87" t="s">
        <v>25</v>
      </c>
      <c r="I87" t="s">
        <v>26</v>
      </c>
      <c r="J87" t="s">
        <v>641</v>
      </c>
      <c r="K87" t="s">
        <v>641</v>
      </c>
      <c r="L87">
        <v>90219</v>
      </c>
      <c r="M87" t="s">
        <v>62</v>
      </c>
      <c r="N87" t="s">
        <v>642</v>
      </c>
      <c r="O87" t="s">
        <v>43</v>
      </c>
      <c r="P87" t="s">
        <v>189</v>
      </c>
      <c r="Q87" t="s">
        <v>643</v>
      </c>
      <c r="R87" t="s">
        <v>644</v>
      </c>
      <c r="S87">
        <v>4</v>
      </c>
      <c r="T87" s="2">
        <v>0</v>
      </c>
      <c r="U87" t="s">
        <v>645</v>
      </c>
    </row>
    <row r="88" spans="1:21">
      <c r="A88">
        <v>29</v>
      </c>
      <c r="B88" t="s">
        <v>646</v>
      </c>
      <c r="C88" s="1">
        <v>44731</v>
      </c>
      <c r="D88" s="1">
        <v>44734</v>
      </c>
      <c r="E88" t="s">
        <v>36</v>
      </c>
      <c r="F88" t="s">
        <v>647</v>
      </c>
      <c r="G88" t="s">
        <v>648</v>
      </c>
      <c r="H88" t="s">
        <v>25</v>
      </c>
      <c r="I88" t="s">
        <v>26</v>
      </c>
      <c r="J88" t="s">
        <v>237</v>
      </c>
      <c r="K88" t="s">
        <v>237</v>
      </c>
      <c r="L88">
        <v>82124</v>
      </c>
      <c r="M88" t="s">
        <v>41</v>
      </c>
      <c r="N88" t="s">
        <v>649</v>
      </c>
      <c r="O88" t="s">
        <v>43</v>
      </c>
      <c r="P88" t="s">
        <v>44</v>
      </c>
      <c r="Q88" t="s">
        <v>650</v>
      </c>
      <c r="R88" t="s">
        <v>651</v>
      </c>
      <c r="S88">
        <v>4</v>
      </c>
      <c r="T88" s="2">
        <v>0.05</v>
      </c>
      <c r="U88" t="s">
        <v>652</v>
      </c>
    </row>
    <row r="89" spans="1:21">
      <c r="A89">
        <v>182</v>
      </c>
      <c r="B89" t="s">
        <v>653</v>
      </c>
      <c r="C89" s="1">
        <v>44732</v>
      </c>
      <c r="D89" s="1">
        <v>44733</v>
      </c>
      <c r="E89" t="s">
        <v>49</v>
      </c>
      <c r="F89" t="s">
        <v>654</v>
      </c>
      <c r="G89" t="s">
        <v>244</v>
      </c>
      <c r="H89" t="s">
        <v>25</v>
      </c>
      <c r="I89" t="s">
        <v>26</v>
      </c>
      <c r="J89" t="s">
        <v>363</v>
      </c>
      <c r="K89" t="s">
        <v>363</v>
      </c>
      <c r="L89">
        <v>77712</v>
      </c>
      <c r="M89" t="s">
        <v>62</v>
      </c>
      <c r="N89" t="s">
        <v>655</v>
      </c>
      <c r="O89" t="s">
        <v>43</v>
      </c>
      <c r="P89" t="s">
        <v>128</v>
      </c>
      <c r="Q89" t="s">
        <v>656</v>
      </c>
      <c r="R89" t="s">
        <v>657</v>
      </c>
      <c r="S89">
        <v>5</v>
      </c>
      <c r="T89" s="2">
        <v>0.15</v>
      </c>
      <c r="U89" t="s">
        <v>658</v>
      </c>
    </row>
    <row r="90" spans="1:21">
      <c r="A90">
        <v>280</v>
      </c>
      <c r="B90" t="s">
        <v>659</v>
      </c>
      <c r="C90" s="1">
        <v>44733</v>
      </c>
      <c r="D90" s="1">
        <v>44734</v>
      </c>
      <c r="E90" t="s">
        <v>36</v>
      </c>
      <c r="F90" t="s">
        <v>660</v>
      </c>
      <c r="G90" t="s">
        <v>211</v>
      </c>
      <c r="H90" t="s">
        <v>25</v>
      </c>
      <c r="I90" t="s">
        <v>26</v>
      </c>
      <c r="J90" t="s">
        <v>52</v>
      </c>
      <c r="K90" t="s">
        <v>52</v>
      </c>
      <c r="L90">
        <v>27857</v>
      </c>
      <c r="M90" t="s">
        <v>41</v>
      </c>
      <c r="N90" t="s">
        <v>661</v>
      </c>
      <c r="O90" t="s">
        <v>30</v>
      </c>
      <c r="P90" t="s">
        <v>197</v>
      </c>
      <c r="Q90" t="s">
        <v>662</v>
      </c>
      <c r="R90" t="s">
        <v>663</v>
      </c>
      <c r="S90">
        <v>7</v>
      </c>
      <c r="T90" s="2">
        <v>0.3</v>
      </c>
      <c r="U90" t="s">
        <v>664</v>
      </c>
    </row>
    <row r="91" spans="1:21">
      <c r="A91">
        <v>371</v>
      </c>
      <c r="B91" t="s">
        <v>665</v>
      </c>
      <c r="C91" s="1">
        <v>44737</v>
      </c>
      <c r="D91" s="1">
        <v>44741</v>
      </c>
      <c r="E91" t="s">
        <v>36</v>
      </c>
      <c r="F91" t="s">
        <v>666</v>
      </c>
      <c r="G91" t="s">
        <v>300</v>
      </c>
      <c r="H91" t="s">
        <v>39</v>
      </c>
      <c r="I91" t="s">
        <v>26</v>
      </c>
      <c r="J91" t="s">
        <v>40</v>
      </c>
      <c r="K91" t="s">
        <v>40</v>
      </c>
      <c r="L91">
        <v>34845</v>
      </c>
      <c r="M91" t="s">
        <v>41</v>
      </c>
      <c r="N91" t="s">
        <v>667</v>
      </c>
      <c r="O91" t="s">
        <v>43</v>
      </c>
      <c r="P91" t="s">
        <v>128</v>
      </c>
      <c r="Q91" t="s">
        <v>668</v>
      </c>
      <c r="R91" t="s">
        <v>669</v>
      </c>
      <c r="S91">
        <v>1</v>
      </c>
      <c r="T91" s="2">
        <v>0.3</v>
      </c>
      <c r="U91" t="s">
        <v>670</v>
      </c>
    </row>
    <row r="92" spans="1:21">
      <c r="A92">
        <v>55</v>
      </c>
      <c r="B92" t="s">
        <v>671</v>
      </c>
      <c r="C92" s="1">
        <v>44738</v>
      </c>
      <c r="D92" s="1">
        <v>44742</v>
      </c>
      <c r="E92" t="s">
        <v>36</v>
      </c>
      <c r="F92" t="s">
        <v>672</v>
      </c>
      <c r="G92" t="s">
        <v>38</v>
      </c>
      <c r="H92" t="s">
        <v>25</v>
      </c>
      <c r="I92" t="s">
        <v>26</v>
      </c>
      <c r="J92" t="s">
        <v>52</v>
      </c>
      <c r="K92" t="s">
        <v>52</v>
      </c>
      <c r="L92">
        <v>85520</v>
      </c>
      <c r="M92" t="s">
        <v>41</v>
      </c>
      <c r="N92" t="s">
        <v>343</v>
      </c>
      <c r="O92" t="s">
        <v>43</v>
      </c>
      <c r="P92" t="s">
        <v>83</v>
      </c>
      <c r="Q92" t="s">
        <v>487</v>
      </c>
      <c r="R92" t="s">
        <v>673</v>
      </c>
      <c r="S92">
        <v>1</v>
      </c>
      <c r="T92" s="2">
        <v>0.15</v>
      </c>
      <c r="U92" t="s">
        <v>674</v>
      </c>
    </row>
    <row r="93" spans="1:21">
      <c r="A93">
        <v>540</v>
      </c>
      <c r="B93" t="s">
        <v>675</v>
      </c>
      <c r="C93" s="1">
        <v>44740</v>
      </c>
      <c r="D93" s="1">
        <v>44746</v>
      </c>
      <c r="E93" t="s">
        <v>36</v>
      </c>
      <c r="F93" t="s">
        <v>676</v>
      </c>
      <c r="G93" t="s">
        <v>677</v>
      </c>
      <c r="H93" t="s">
        <v>39</v>
      </c>
      <c r="I93" t="s">
        <v>26</v>
      </c>
      <c r="J93" t="s">
        <v>72</v>
      </c>
      <c r="K93" t="s">
        <v>72</v>
      </c>
      <c r="L93">
        <v>95548</v>
      </c>
      <c r="M93" t="s">
        <v>73</v>
      </c>
      <c r="N93" t="s">
        <v>678</v>
      </c>
      <c r="O93" t="s">
        <v>30</v>
      </c>
      <c r="P93" t="s">
        <v>222</v>
      </c>
      <c r="Q93" t="s">
        <v>303</v>
      </c>
      <c r="R93" t="s">
        <v>679</v>
      </c>
      <c r="S93">
        <v>7</v>
      </c>
      <c r="T93" s="2">
        <v>0.1</v>
      </c>
      <c r="U93" t="s">
        <v>680</v>
      </c>
    </row>
    <row r="94" spans="1:21">
      <c r="A94">
        <v>354</v>
      </c>
      <c r="B94" t="s">
        <v>681</v>
      </c>
      <c r="C94" s="1">
        <v>44741</v>
      </c>
      <c r="D94" s="1">
        <v>44743</v>
      </c>
      <c r="E94" t="s">
        <v>36</v>
      </c>
      <c r="F94" t="s">
        <v>682</v>
      </c>
      <c r="G94" t="s">
        <v>683</v>
      </c>
      <c r="H94" t="s">
        <v>25</v>
      </c>
      <c r="I94" t="s">
        <v>26</v>
      </c>
      <c r="J94" t="s">
        <v>96</v>
      </c>
      <c r="K94" t="s">
        <v>96</v>
      </c>
      <c r="L94">
        <v>13407</v>
      </c>
      <c r="M94" t="s">
        <v>28</v>
      </c>
      <c r="N94" t="s">
        <v>684</v>
      </c>
      <c r="O94" t="s">
        <v>43</v>
      </c>
      <c r="P94" t="s">
        <v>128</v>
      </c>
      <c r="Q94" t="s">
        <v>685</v>
      </c>
      <c r="R94" t="s">
        <v>686</v>
      </c>
      <c r="S94">
        <v>2</v>
      </c>
      <c r="T94" s="2">
        <v>0.5</v>
      </c>
      <c r="U94" t="s">
        <v>687</v>
      </c>
    </row>
    <row r="95" spans="1:21">
      <c r="A95">
        <v>445</v>
      </c>
      <c r="B95" t="s">
        <v>688</v>
      </c>
      <c r="C95" s="1">
        <v>44747</v>
      </c>
      <c r="D95" s="1">
        <v>44750</v>
      </c>
      <c r="E95" t="s">
        <v>36</v>
      </c>
      <c r="F95" t="s">
        <v>689</v>
      </c>
      <c r="G95" t="s">
        <v>471</v>
      </c>
      <c r="H95" t="s">
        <v>25</v>
      </c>
      <c r="I95" t="s">
        <v>26</v>
      </c>
      <c r="J95" t="s">
        <v>157</v>
      </c>
      <c r="K95" t="s">
        <v>157</v>
      </c>
      <c r="L95">
        <v>19491</v>
      </c>
      <c r="M95" t="s">
        <v>62</v>
      </c>
      <c r="N95" t="s">
        <v>690</v>
      </c>
      <c r="O95" t="s">
        <v>43</v>
      </c>
      <c r="P95" t="s">
        <v>44</v>
      </c>
      <c r="Q95" t="s">
        <v>239</v>
      </c>
      <c r="R95" t="s">
        <v>691</v>
      </c>
      <c r="S95">
        <v>6</v>
      </c>
      <c r="T95" s="2">
        <v>0.4</v>
      </c>
      <c r="U95" t="s">
        <v>692</v>
      </c>
    </row>
    <row r="96" spans="1:21">
      <c r="A96">
        <v>232</v>
      </c>
      <c r="B96" t="s">
        <v>693</v>
      </c>
      <c r="C96" s="1">
        <v>44748</v>
      </c>
      <c r="D96" s="1">
        <v>44752</v>
      </c>
      <c r="E96" t="s">
        <v>36</v>
      </c>
      <c r="F96" t="s">
        <v>694</v>
      </c>
      <c r="G96" t="s">
        <v>451</v>
      </c>
      <c r="H96" t="s">
        <v>60</v>
      </c>
      <c r="I96" t="s">
        <v>26</v>
      </c>
      <c r="J96" t="s">
        <v>157</v>
      </c>
      <c r="K96" t="s">
        <v>157</v>
      </c>
      <c r="L96">
        <v>58920</v>
      </c>
      <c r="M96" t="s">
        <v>62</v>
      </c>
      <c r="N96" t="s">
        <v>433</v>
      </c>
      <c r="O96" t="s">
        <v>64</v>
      </c>
      <c r="P96" t="s">
        <v>65</v>
      </c>
      <c r="Q96" t="s">
        <v>695</v>
      </c>
      <c r="R96" t="s">
        <v>696</v>
      </c>
      <c r="S96">
        <v>4</v>
      </c>
      <c r="T96" s="2">
        <v>0.15</v>
      </c>
      <c r="U96" t="s">
        <v>697</v>
      </c>
    </row>
    <row r="97" spans="1:21">
      <c r="A97">
        <v>223</v>
      </c>
      <c r="B97" t="s">
        <v>698</v>
      </c>
      <c r="C97" s="1">
        <v>44750</v>
      </c>
      <c r="D97" s="1">
        <v>44754</v>
      </c>
      <c r="E97" t="s">
        <v>36</v>
      </c>
      <c r="F97" t="s">
        <v>699</v>
      </c>
      <c r="G97" t="s">
        <v>700</v>
      </c>
      <c r="H97" t="s">
        <v>60</v>
      </c>
      <c r="I97" t="s">
        <v>26</v>
      </c>
      <c r="J97" t="s">
        <v>237</v>
      </c>
      <c r="K97" t="s">
        <v>237</v>
      </c>
      <c r="L97">
        <v>49104</v>
      </c>
      <c r="M97" t="s">
        <v>41</v>
      </c>
      <c r="N97" t="s">
        <v>701</v>
      </c>
      <c r="O97" t="s">
        <v>64</v>
      </c>
      <c r="P97" t="s">
        <v>105</v>
      </c>
      <c r="Q97" t="s">
        <v>702</v>
      </c>
      <c r="R97" t="s">
        <v>703</v>
      </c>
      <c r="S97">
        <v>3</v>
      </c>
      <c r="T97" s="2">
        <v>0.2</v>
      </c>
      <c r="U97" t="s">
        <v>704</v>
      </c>
    </row>
    <row r="98" spans="1:21">
      <c r="A98">
        <v>411</v>
      </c>
      <c r="B98" t="s">
        <v>705</v>
      </c>
      <c r="C98" s="1">
        <v>44753</v>
      </c>
      <c r="D98" s="1">
        <v>44754</v>
      </c>
      <c r="E98" t="s">
        <v>22</v>
      </c>
      <c r="F98" t="s">
        <v>706</v>
      </c>
      <c r="G98" t="s">
        <v>707</v>
      </c>
      <c r="H98" t="s">
        <v>39</v>
      </c>
      <c r="I98" t="s">
        <v>26</v>
      </c>
      <c r="J98" t="s">
        <v>204</v>
      </c>
      <c r="K98" t="s">
        <v>204</v>
      </c>
      <c r="L98">
        <v>95914</v>
      </c>
      <c r="M98" t="s">
        <v>28</v>
      </c>
      <c r="N98" t="s">
        <v>701</v>
      </c>
      <c r="O98" t="s">
        <v>30</v>
      </c>
      <c r="P98" t="s">
        <v>222</v>
      </c>
      <c r="Q98" t="s">
        <v>708</v>
      </c>
      <c r="R98" t="s">
        <v>709</v>
      </c>
      <c r="S98">
        <v>4</v>
      </c>
      <c r="T98" s="2">
        <v>0.3</v>
      </c>
      <c r="U98" t="s">
        <v>710</v>
      </c>
    </row>
    <row r="99" spans="1:21">
      <c r="A99">
        <v>193</v>
      </c>
      <c r="B99" t="s">
        <v>711</v>
      </c>
      <c r="C99" s="1">
        <v>44754</v>
      </c>
      <c r="D99" s="1">
        <v>44757</v>
      </c>
      <c r="E99" t="s">
        <v>49</v>
      </c>
      <c r="F99" t="s">
        <v>712</v>
      </c>
      <c r="G99" t="s">
        <v>713</v>
      </c>
      <c r="H99" t="s">
        <v>60</v>
      </c>
      <c r="I99" t="s">
        <v>26</v>
      </c>
      <c r="J99" t="s">
        <v>96</v>
      </c>
      <c r="K99" t="s">
        <v>96</v>
      </c>
      <c r="L99">
        <v>96328</v>
      </c>
      <c r="M99" t="s">
        <v>28</v>
      </c>
      <c r="N99" t="s">
        <v>287</v>
      </c>
      <c r="O99" t="s">
        <v>64</v>
      </c>
      <c r="P99" t="s">
        <v>65</v>
      </c>
      <c r="Q99" t="s">
        <v>714</v>
      </c>
      <c r="R99" t="s">
        <v>715</v>
      </c>
      <c r="S99">
        <v>3</v>
      </c>
      <c r="T99" s="2">
        <v>0.3</v>
      </c>
      <c r="U99" t="s">
        <v>716</v>
      </c>
    </row>
    <row r="100" spans="1:21">
      <c r="A100">
        <v>153</v>
      </c>
      <c r="B100" t="s">
        <v>717</v>
      </c>
      <c r="C100" s="1">
        <v>44756</v>
      </c>
      <c r="D100" s="1">
        <v>44761</v>
      </c>
      <c r="E100" t="s">
        <v>49</v>
      </c>
      <c r="F100" t="s">
        <v>718</v>
      </c>
      <c r="G100" t="s">
        <v>719</v>
      </c>
      <c r="H100" t="s">
        <v>25</v>
      </c>
      <c r="I100" t="s">
        <v>26</v>
      </c>
      <c r="J100" t="s">
        <v>245</v>
      </c>
      <c r="K100" t="s">
        <v>245</v>
      </c>
      <c r="L100">
        <v>78803</v>
      </c>
      <c r="M100" t="s">
        <v>41</v>
      </c>
      <c r="N100" t="s">
        <v>720</v>
      </c>
      <c r="O100" t="s">
        <v>64</v>
      </c>
      <c r="P100" t="s">
        <v>405</v>
      </c>
      <c r="Q100" t="s">
        <v>480</v>
      </c>
      <c r="R100" t="s">
        <v>721</v>
      </c>
      <c r="S100">
        <v>6</v>
      </c>
      <c r="T100" s="2">
        <v>0.2</v>
      </c>
      <c r="U100" t="s">
        <v>722</v>
      </c>
    </row>
    <row r="101" spans="1:21">
      <c r="A101">
        <v>124</v>
      </c>
      <c r="B101" t="s">
        <v>723</v>
      </c>
      <c r="C101" s="1">
        <v>44763</v>
      </c>
      <c r="D101" s="1">
        <v>44766</v>
      </c>
      <c r="E101" t="s">
        <v>49</v>
      </c>
      <c r="F101" t="s">
        <v>724</v>
      </c>
      <c r="G101" t="s">
        <v>397</v>
      </c>
      <c r="H101" t="s">
        <v>25</v>
      </c>
      <c r="I101" t="s">
        <v>26</v>
      </c>
      <c r="J101" t="s">
        <v>27</v>
      </c>
      <c r="K101" t="s">
        <v>27</v>
      </c>
      <c r="L101">
        <v>75697</v>
      </c>
      <c r="M101" t="s">
        <v>28</v>
      </c>
      <c r="N101" t="s">
        <v>725</v>
      </c>
      <c r="O101" t="s">
        <v>30</v>
      </c>
      <c r="P101" t="s">
        <v>31</v>
      </c>
      <c r="Q101" t="s">
        <v>726</v>
      </c>
      <c r="R101" t="s">
        <v>727</v>
      </c>
      <c r="S101">
        <v>2</v>
      </c>
      <c r="T101" s="2">
        <v>0.15</v>
      </c>
      <c r="U101" t="s">
        <v>728</v>
      </c>
    </row>
    <row r="102" spans="1:21">
      <c r="A102">
        <v>458</v>
      </c>
      <c r="B102" t="s">
        <v>729</v>
      </c>
      <c r="C102" s="1">
        <v>44765</v>
      </c>
      <c r="D102" s="1">
        <v>44767</v>
      </c>
      <c r="E102" t="s">
        <v>36</v>
      </c>
      <c r="F102" t="s">
        <v>730</v>
      </c>
      <c r="G102" t="s">
        <v>731</v>
      </c>
      <c r="H102" t="s">
        <v>25</v>
      </c>
      <c r="I102" t="s">
        <v>26</v>
      </c>
      <c r="J102" t="s">
        <v>204</v>
      </c>
      <c r="K102" t="s">
        <v>204</v>
      </c>
      <c r="L102">
        <v>32228</v>
      </c>
      <c r="M102" t="s">
        <v>28</v>
      </c>
      <c r="N102" t="s">
        <v>732</v>
      </c>
      <c r="O102" t="s">
        <v>64</v>
      </c>
      <c r="P102" t="s">
        <v>136</v>
      </c>
      <c r="Q102" t="s">
        <v>733</v>
      </c>
      <c r="R102" t="s">
        <v>734</v>
      </c>
      <c r="S102">
        <v>4</v>
      </c>
      <c r="T102" s="2">
        <v>0.2</v>
      </c>
      <c r="U102" t="s">
        <v>735</v>
      </c>
    </row>
    <row r="103" spans="1:21">
      <c r="A103">
        <v>466</v>
      </c>
      <c r="B103" t="s">
        <v>736</v>
      </c>
      <c r="C103" s="1">
        <v>44769</v>
      </c>
      <c r="D103" s="1">
        <v>44770</v>
      </c>
      <c r="E103" t="s">
        <v>36</v>
      </c>
      <c r="F103" t="s">
        <v>737</v>
      </c>
      <c r="G103" t="s">
        <v>71</v>
      </c>
      <c r="H103" t="s">
        <v>60</v>
      </c>
      <c r="I103" t="s">
        <v>26</v>
      </c>
      <c r="J103" t="s">
        <v>52</v>
      </c>
      <c r="K103" t="s">
        <v>52</v>
      </c>
      <c r="L103">
        <v>90879</v>
      </c>
      <c r="M103" t="s">
        <v>41</v>
      </c>
      <c r="N103" t="s">
        <v>738</v>
      </c>
      <c r="O103" t="s">
        <v>30</v>
      </c>
      <c r="P103" t="s">
        <v>31</v>
      </c>
      <c r="Q103" t="s">
        <v>739</v>
      </c>
      <c r="R103" t="s">
        <v>740</v>
      </c>
      <c r="S103">
        <v>7</v>
      </c>
      <c r="T103" s="2">
        <v>0.5</v>
      </c>
      <c r="U103" t="s">
        <v>741</v>
      </c>
    </row>
    <row r="104" spans="1:21">
      <c r="A104">
        <v>85</v>
      </c>
      <c r="B104" t="s">
        <v>742</v>
      </c>
      <c r="C104" s="1">
        <v>44769</v>
      </c>
      <c r="D104" s="1">
        <v>44772</v>
      </c>
      <c r="E104" t="s">
        <v>36</v>
      </c>
      <c r="F104" t="s">
        <v>743</v>
      </c>
      <c r="G104" t="s">
        <v>329</v>
      </c>
      <c r="H104" t="s">
        <v>39</v>
      </c>
      <c r="I104" t="s">
        <v>26</v>
      </c>
      <c r="J104" t="s">
        <v>81</v>
      </c>
      <c r="K104" t="s">
        <v>81</v>
      </c>
      <c r="L104">
        <v>41890</v>
      </c>
      <c r="M104" t="s">
        <v>62</v>
      </c>
      <c r="N104" t="s">
        <v>744</v>
      </c>
      <c r="O104" t="s">
        <v>64</v>
      </c>
      <c r="P104" t="s">
        <v>405</v>
      </c>
      <c r="Q104" t="s">
        <v>745</v>
      </c>
      <c r="R104" t="s">
        <v>746</v>
      </c>
      <c r="S104">
        <v>4</v>
      </c>
      <c r="T104" s="2">
        <v>0</v>
      </c>
      <c r="U104" t="s">
        <v>747</v>
      </c>
    </row>
    <row r="105" spans="1:21">
      <c r="A105">
        <v>141</v>
      </c>
      <c r="B105" t="s">
        <v>748</v>
      </c>
      <c r="C105" s="1">
        <v>44771</v>
      </c>
      <c r="D105" s="1">
        <v>44775</v>
      </c>
      <c r="E105" t="s">
        <v>36</v>
      </c>
      <c r="F105" t="s">
        <v>749</v>
      </c>
      <c r="G105" t="s">
        <v>750</v>
      </c>
      <c r="H105" t="s">
        <v>25</v>
      </c>
      <c r="I105" t="s">
        <v>26</v>
      </c>
      <c r="J105" t="s">
        <v>641</v>
      </c>
      <c r="K105" t="s">
        <v>641</v>
      </c>
      <c r="L105">
        <v>79785</v>
      </c>
      <c r="M105" t="s">
        <v>62</v>
      </c>
      <c r="N105" t="s">
        <v>751</v>
      </c>
      <c r="O105" t="s">
        <v>43</v>
      </c>
      <c r="P105" t="s">
        <v>166</v>
      </c>
      <c r="Q105" t="s">
        <v>752</v>
      </c>
      <c r="R105" t="s">
        <v>753</v>
      </c>
      <c r="S105">
        <v>6</v>
      </c>
      <c r="T105" s="2">
        <v>0.1</v>
      </c>
      <c r="U105" t="s">
        <v>754</v>
      </c>
    </row>
    <row r="106" spans="1:21">
      <c r="A106">
        <v>326</v>
      </c>
      <c r="B106" t="s">
        <v>755</v>
      </c>
      <c r="C106" s="1">
        <v>44773</v>
      </c>
      <c r="D106" s="1">
        <v>44775</v>
      </c>
      <c r="E106" t="s">
        <v>22</v>
      </c>
      <c r="F106" t="s">
        <v>756</v>
      </c>
      <c r="G106" t="s">
        <v>757</v>
      </c>
      <c r="H106" t="s">
        <v>25</v>
      </c>
      <c r="I106" t="s">
        <v>26</v>
      </c>
      <c r="J106" t="s">
        <v>204</v>
      </c>
      <c r="K106" t="s">
        <v>204</v>
      </c>
      <c r="L106">
        <v>87909</v>
      </c>
      <c r="M106" t="s">
        <v>28</v>
      </c>
      <c r="N106" t="s">
        <v>758</v>
      </c>
      <c r="O106" t="s">
        <v>30</v>
      </c>
      <c r="P106" t="s">
        <v>120</v>
      </c>
      <c r="Q106" t="s">
        <v>759</v>
      </c>
      <c r="R106" t="s">
        <v>760</v>
      </c>
      <c r="S106">
        <v>5</v>
      </c>
      <c r="T106" s="2">
        <v>0</v>
      </c>
      <c r="U106" t="s">
        <v>761</v>
      </c>
    </row>
    <row r="107" spans="1:21">
      <c r="A107">
        <v>113</v>
      </c>
      <c r="B107" t="s">
        <v>762</v>
      </c>
      <c r="C107" s="1">
        <v>44774</v>
      </c>
      <c r="D107" s="1">
        <v>44778</v>
      </c>
      <c r="E107" t="s">
        <v>36</v>
      </c>
      <c r="F107" t="s">
        <v>763</v>
      </c>
      <c r="G107" t="s">
        <v>244</v>
      </c>
      <c r="H107" t="s">
        <v>25</v>
      </c>
      <c r="I107" t="s">
        <v>26</v>
      </c>
      <c r="J107" t="s">
        <v>173</v>
      </c>
      <c r="K107" t="s">
        <v>173</v>
      </c>
      <c r="L107">
        <v>47487</v>
      </c>
      <c r="M107" t="s">
        <v>73</v>
      </c>
      <c r="N107" t="s">
        <v>764</v>
      </c>
      <c r="O107" t="s">
        <v>64</v>
      </c>
      <c r="P107" t="s">
        <v>136</v>
      </c>
      <c r="Q107" t="s">
        <v>765</v>
      </c>
      <c r="R107" t="s">
        <v>766</v>
      </c>
      <c r="S107">
        <v>4</v>
      </c>
      <c r="T107" s="2">
        <v>0.1</v>
      </c>
      <c r="U107" t="s">
        <v>767</v>
      </c>
    </row>
    <row r="108" spans="1:21">
      <c r="A108">
        <v>196</v>
      </c>
      <c r="B108" t="s">
        <v>768</v>
      </c>
      <c r="C108" s="1">
        <v>44776</v>
      </c>
      <c r="D108" s="1">
        <v>44779</v>
      </c>
      <c r="E108" t="s">
        <v>36</v>
      </c>
      <c r="F108" t="s">
        <v>769</v>
      </c>
      <c r="G108" t="s">
        <v>384</v>
      </c>
      <c r="H108" t="s">
        <v>25</v>
      </c>
      <c r="I108" t="s">
        <v>26</v>
      </c>
      <c r="J108" t="s">
        <v>81</v>
      </c>
      <c r="K108" t="s">
        <v>81</v>
      </c>
      <c r="L108">
        <v>24256</v>
      </c>
      <c r="M108" t="s">
        <v>62</v>
      </c>
      <c r="N108" t="s">
        <v>770</v>
      </c>
      <c r="O108" t="s">
        <v>43</v>
      </c>
      <c r="P108" t="s">
        <v>83</v>
      </c>
      <c r="Q108" t="s">
        <v>84</v>
      </c>
      <c r="R108" t="s">
        <v>771</v>
      </c>
      <c r="S108">
        <v>2</v>
      </c>
      <c r="T108" s="2">
        <v>0.15</v>
      </c>
      <c r="U108" t="s">
        <v>772</v>
      </c>
    </row>
    <row r="109" spans="1:21">
      <c r="A109">
        <v>567</v>
      </c>
      <c r="B109" t="s">
        <v>773</v>
      </c>
      <c r="C109" s="1">
        <v>44777</v>
      </c>
      <c r="D109" s="1">
        <v>44778</v>
      </c>
      <c r="E109" t="s">
        <v>36</v>
      </c>
      <c r="F109" t="s">
        <v>774</v>
      </c>
      <c r="G109" t="s">
        <v>775</v>
      </c>
      <c r="H109" t="s">
        <v>39</v>
      </c>
      <c r="I109" t="s">
        <v>26</v>
      </c>
      <c r="J109" t="s">
        <v>61</v>
      </c>
      <c r="K109" t="s">
        <v>61</v>
      </c>
      <c r="L109">
        <v>11949</v>
      </c>
      <c r="M109" t="s">
        <v>62</v>
      </c>
      <c r="N109" t="s">
        <v>776</v>
      </c>
      <c r="O109" t="s">
        <v>30</v>
      </c>
      <c r="P109" t="s">
        <v>120</v>
      </c>
      <c r="Q109" t="s">
        <v>777</v>
      </c>
      <c r="R109" t="s">
        <v>778</v>
      </c>
      <c r="S109">
        <v>3</v>
      </c>
      <c r="T109" s="2">
        <v>0.1</v>
      </c>
      <c r="U109" t="s">
        <v>779</v>
      </c>
    </row>
    <row r="110" spans="1:21">
      <c r="A110">
        <v>410</v>
      </c>
      <c r="B110" t="s">
        <v>780</v>
      </c>
      <c r="C110" s="1">
        <v>44779</v>
      </c>
      <c r="D110" s="1">
        <v>44781</v>
      </c>
      <c r="E110" t="s">
        <v>22</v>
      </c>
      <c r="F110" t="s">
        <v>781</v>
      </c>
      <c r="G110" t="s">
        <v>211</v>
      </c>
      <c r="H110" t="s">
        <v>39</v>
      </c>
      <c r="I110" t="s">
        <v>26</v>
      </c>
      <c r="J110" t="s">
        <v>27</v>
      </c>
      <c r="K110" t="s">
        <v>27</v>
      </c>
      <c r="L110">
        <v>44268</v>
      </c>
      <c r="M110" t="s">
        <v>28</v>
      </c>
      <c r="N110" t="s">
        <v>782</v>
      </c>
      <c r="O110" t="s">
        <v>30</v>
      </c>
      <c r="P110" t="s">
        <v>120</v>
      </c>
      <c r="Q110" t="s">
        <v>783</v>
      </c>
      <c r="R110" t="s">
        <v>784</v>
      </c>
      <c r="S110">
        <v>3</v>
      </c>
      <c r="T110" s="2">
        <v>0.3</v>
      </c>
      <c r="U110" t="s">
        <v>785</v>
      </c>
    </row>
    <row r="111" spans="1:21">
      <c r="A111">
        <v>343</v>
      </c>
      <c r="B111" t="s">
        <v>786</v>
      </c>
      <c r="C111" s="1">
        <v>44780</v>
      </c>
      <c r="D111" s="1">
        <v>44783</v>
      </c>
      <c r="E111" t="s">
        <v>36</v>
      </c>
      <c r="F111" t="s">
        <v>787</v>
      </c>
      <c r="G111" t="s">
        <v>683</v>
      </c>
      <c r="H111" t="s">
        <v>25</v>
      </c>
      <c r="I111" t="s">
        <v>26</v>
      </c>
      <c r="J111" t="s">
        <v>52</v>
      </c>
      <c r="K111" t="s">
        <v>52</v>
      </c>
      <c r="L111">
        <v>68560</v>
      </c>
      <c r="M111" t="s">
        <v>41</v>
      </c>
      <c r="N111" t="s">
        <v>788</v>
      </c>
      <c r="O111" t="s">
        <v>30</v>
      </c>
      <c r="P111" t="s">
        <v>197</v>
      </c>
      <c r="Q111" t="s">
        <v>789</v>
      </c>
      <c r="R111" t="s">
        <v>790</v>
      </c>
      <c r="S111">
        <v>5</v>
      </c>
      <c r="T111" s="2">
        <v>0.15</v>
      </c>
      <c r="U111" t="s">
        <v>791</v>
      </c>
    </row>
    <row r="112" spans="1:21">
      <c r="A112">
        <v>292</v>
      </c>
      <c r="B112" t="s">
        <v>792</v>
      </c>
      <c r="C112" s="1">
        <v>44782</v>
      </c>
      <c r="D112" s="1">
        <v>44786</v>
      </c>
      <c r="E112" t="s">
        <v>36</v>
      </c>
      <c r="F112" t="s">
        <v>793</v>
      </c>
      <c r="G112" t="s">
        <v>794</v>
      </c>
      <c r="H112" t="s">
        <v>60</v>
      </c>
      <c r="I112" t="s">
        <v>26</v>
      </c>
      <c r="J112" t="s">
        <v>260</v>
      </c>
      <c r="K112" t="s">
        <v>260</v>
      </c>
      <c r="L112">
        <v>81289</v>
      </c>
      <c r="M112" t="s">
        <v>41</v>
      </c>
      <c r="N112" t="s">
        <v>795</v>
      </c>
      <c r="O112" t="s">
        <v>43</v>
      </c>
      <c r="P112" t="s">
        <v>189</v>
      </c>
      <c r="Q112" t="s">
        <v>440</v>
      </c>
      <c r="R112" t="s">
        <v>796</v>
      </c>
      <c r="S112">
        <v>2</v>
      </c>
      <c r="T112" s="2">
        <v>0.1</v>
      </c>
      <c r="U112" t="s">
        <v>797</v>
      </c>
    </row>
    <row r="113" spans="1:21">
      <c r="A113">
        <v>260</v>
      </c>
      <c r="B113" t="s">
        <v>798</v>
      </c>
      <c r="C113" s="1">
        <v>44782</v>
      </c>
      <c r="D113" s="1">
        <v>44785</v>
      </c>
      <c r="E113" t="s">
        <v>36</v>
      </c>
      <c r="F113" t="s">
        <v>799</v>
      </c>
      <c r="G113" t="s">
        <v>24</v>
      </c>
      <c r="H113" t="s">
        <v>25</v>
      </c>
      <c r="I113" t="s">
        <v>26</v>
      </c>
      <c r="J113" t="s">
        <v>27</v>
      </c>
      <c r="K113" t="s">
        <v>27</v>
      </c>
      <c r="L113">
        <v>13748</v>
      </c>
      <c r="M113" t="s">
        <v>28</v>
      </c>
      <c r="N113" t="s">
        <v>800</v>
      </c>
      <c r="O113" t="s">
        <v>64</v>
      </c>
      <c r="P113" t="s">
        <v>105</v>
      </c>
      <c r="Q113" t="s">
        <v>269</v>
      </c>
      <c r="R113" t="s">
        <v>801</v>
      </c>
      <c r="S113">
        <v>1</v>
      </c>
      <c r="T113" s="2">
        <v>0</v>
      </c>
      <c r="U113" t="s">
        <v>802</v>
      </c>
    </row>
    <row r="114" spans="1:21">
      <c r="A114">
        <v>437</v>
      </c>
      <c r="B114" t="s">
        <v>803</v>
      </c>
      <c r="C114" s="1">
        <v>44786</v>
      </c>
      <c r="D114" s="1">
        <v>44788</v>
      </c>
      <c r="E114" t="s">
        <v>22</v>
      </c>
      <c r="F114" t="s">
        <v>804</v>
      </c>
      <c r="G114" t="s">
        <v>252</v>
      </c>
      <c r="H114" t="s">
        <v>39</v>
      </c>
      <c r="I114" t="s">
        <v>26</v>
      </c>
      <c r="J114" t="s">
        <v>641</v>
      </c>
      <c r="K114" t="s">
        <v>641</v>
      </c>
      <c r="L114">
        <v>47289</v>
      </c>
      <c r="M114" t="s">
        <v>62</v>
      </c>
      <c r="N114" t="s">
        <v>805</v>
      </c>
      <c r="O114" t="s">
        <v>30</v>
      </c>
      <c r="P114" t="s">
        <v>197</v>
      </c>
      <c r="Q114" t="s">
        <v>806</v>
      </c>
      <c r="R114" t="s">
        <v>807</v>
      </c>
      <c r="S114">
        <v>7</v>
      </c>
      <c r="T114" s="2">
        <v>0.1</v>
      </c>
      <c r="U114" t="s">
        <v>808</v>
      </c>
    </row>
    <row r="115" spans="1:21">
      <c r="A115">
        <v>314</v>
      </c>
      <c r="B115" t="s">
        <v>809</v>
      </c>
      <c r="C115" s="1">
        <v>44787</v>
      </c>
      <c r="D115" s="1">
        <v>44791</v>
      </c>
      <c r="E115" t="s">
        <v>382</v>
      </c>
      <c r="F115" t="s">
        <v>810</v>
      </c>
      <c r="G115" t="s">
        <v>71</v>
      </c>
      <c r="H115" t="s">
        <v>25</v>
      </c>
      <c r="I115" t="s">
        <v>26</v>
      </c>
      <c r="J115" t="s">
        <v>229</v>
      </c>
      <c r="K115" t="s">
        <v>229</v>
      </c>
      <c r="L115">
        <v>79101</v>
      </c>
      <c r="M115" t="s">
        <v>73</v>
      </c>
      <c r="N115" t="s">
        <v>811</v>
      </c>
      <c r="O115" t="s">
        <v>43</v>
      </c>
      <c r="P115" t="s">
        <v>214</v>
      </c>
      <c r="Q115" t="s">
        <v>812</v>
      </c>
      <c r="R115" t="s">
        <v>813</v>
      </c>
      <c r="S115">
        <v>7</v>
      </c>
      <c r="T115" s="2">
        <v>0.3</v>
      </c>
      <c r="U115" t="s">
        <v>565</v>
      </c>
    </row>
    <row r="116" spans="1:21">
      <c r="A116">
        <v>306</v>
      </c>
      <c r="B116" t="s">
        <v>814</v>
      </c>
      <c r="C116" s="1">
        <v>44789</v>
      </c>
      <c r="D116" s="1">
        <v>44794</v>
      </c>
      <c r="E116" t="s">
        <v>36</v>
      </c>
      <c r="F116" t="s">
        <v>815</v>
      </c>
      <c r="G116" t="s">
        <v>816</v>
      </c>
      <c r="H116" t="s">
        <v>39</v>
      </c>
      <c r="I116" t="s">
        <v>26</v>
      </c>
      <c r="J116" t="s">
        <v>61</v>
      </c>
      <c r="K116" t="s">
        <v>61</v>
      </c>
      <c r="L116">
        <v>98721</v>
      </c>
      <c r="M116" t="s">
        <v>62</v>
      </c>
      <c r="N116" t="s">
        <v>817</v>
      </c>
      <c r="O116" t="s">
        <v>30</v>
      </c>
      <c r="P116" t="s">
        <v>222</v>
      </c>
      <c r="Q116" t="s">
        <v>818</v>
      </c>
      <c r="R116" t="s">
        <v>819</v>
      </c>
      <c r="S116">
        <v>5</v>
      </c>
      <c r="T116" s="2">
        <v>0.2</v>
      </c>
      <c r="U116" t="s">
        <v>820</v>
      </c>
    </row>
    <row r="117" spans="1:21">
      <c r="A117">
        <v>341</v>
      </c>
      <c r="B117" t="s">
        <v>821</v>
      </c>
      <c r="C117" s="1">
        <v>44792</v>
      </c>
      <c r="D117" s="1">
        <v>44797</v>
      </c>
      <c r="E117" t="s">
        <v>36</v>
      </c>
      <c r="F117" t="s">
        <v>822</v>
      </c>
      <c r="G117" t="s">
        <v>554</v>
      </c>
      <c r="H117" t="s">
        <v>60</v>
      </c>
      <c r="I117" t="s">
        <v>26</v>
      </c>
      <c r="J117" t="s">
        <v>61</v>
      </c>
      <c r="K117" t="s">
        <v>61</v>
      </c>
      <c r="L117">
        <v>45897</v>
      </c>
      <c r="M117" t="s">
        <v>62</v>
      </c>
      <c r="N117" t="s">
        <v>823</v>
      </c>
      <c r="O117" t="s">
        <v>30</v>
      </c>
      <c r="P117" t="s">
        <v>222</v>
      </c>
      <c r="Q117" t="s">
        <v>824</v>
      </c>
      <c r="R117" t="s">
        <v>825</v>
      </c>
      <c r="S117">
        <v>7</v>
      </c>
      <c r="T117" s="2">
        <v>0.2</v>
      </c>
      <c r="U117" t="s">
        <v>826</v>
      </c>
    </row>
    <row r="118" spans="1:21">
      <c r="A118">
        <v>395</v>
      </c>
      <c r="B118" t="s">
        <v>827</v>
      </c>
      <c r="C118" s="1">
        <v>44793</v>
      </c>
      <c r="D118" s="1">
        <v>44795</v>
      </c>
      <c r="E118" t="s">
        <v>49</v>
      </c>
      <c r="F118" t="s">
        <v>828</v>
      </c>
      <c r="G118" t="s">
        <v>71</v>
      </c>
      <c r="H118" t="s">
        <v>39</v>
      </c>
      <c r="I118" t="s">
        <v>26</v>
      </c>
      <c r="J118" t="s">
        <v>157</v>
      </c>
      <c r="K118" t="s">
        <v>157</v>
      </c>
      <c r="L118">
        <v>19107</v>
      </c>
      <c r="M118" t="s">
        <v>62</v>
      </c>
      <c r="N118" t="s">
        <v>817</v>
      </c>
      <c r="O118" t="s">
        <v>30</v>
      </c>
      <c r="P118" t="s">
        <v>31</v>
      </c>
      <c r="Q118" t="s">
        <v>386</v>
      </c>
      <c r="R118" t="s">
        <v>829</v>
      </c>
      <c r="S118">
        <v>2</v>
      </c>
      <c r="T118" s="2">
        <v>0</v>
      </c>
      <c r="U118" t="s">
        <v>830</v>
      </c>
    </row>
    <row r="119" spans="1:21">
      <c r="A119">
        <v>208</v>
      </c>
      <c r="B119" t="s">
        <v>831</v>
      </c>
      <c r="C119" s="1">
        <v>44796</v>
      </c>
      <c r="D119" s="1">
        <v>44800</v>
      </c>
      <c r="E119" t="s">
        <v>49</v>
      </c>
      <c r="F119" t="s">
        <v>832</v>
      </c>
      <c r="G119" t="s">
        <v>228</v>
      </c>
      <c r="H119" t="s">
        <v>39</v>
      </c>
      <c r="I119" t="s">
        <v>26</v>
      </c>
      <c r="J119" t="s">
        <v>245</v>
      </c>
      <c r="K119" t="s">
        <v>245</v>
      </c>
      <c r="L119">
        <v>54942</v>
      </c>
      <c r="M119" t="s">
        <v>41</v>
      </c>
      <c r="N119" t="s">
        <v>833</v>
      </c>
      <c r="O119" t="s">
        <v>30</v>
      </c>
      <c r="P119" t="s">
        <v>197</v>
      </c>
      <c r="Q119" t="s">
        <v>834</v>
      </c>
      <c r="R119" t="s">
        <v>835</v>
      </c>
      <c r="S119">
        <v>4</v>
      </c>
      <c r="T119" s="2">
        <v>0.1</v>
      </c>
      <c r="U119" t="s">
        <v>836</v>
      </c>
    </row>
    <row r="120" spans="1:21">
      <c r="A120">
        <v>120</v>
      </c>
      <c r="B120" t="s">
        <v>837</v>
      </c>
      <c r="C120" s="1">
        <v>44797</v>
      </c>
      <c r="D120" s="1">
        <v>44798</v>
      </c>
      <c r="E120" t="s">
        <v>36</v>
      </c>
      <c r="F120" t="s">
        <v>838</v>
      </c>
      <c r="G120" t="s">
        <v>478</v>
      </c>
      <c r="H120" t="s">
        <v>25</v>
      </c>
      <c r="I120" t="s">
        <v>26</v>
      </c>
      <c r="J120" t="s">
        <v>212</v>
      </c>
      <c r="K120" t="s">
        <v>212</v>
      </c>
      <c r="L120">
        <v>39739</v>
      </c>
      <c r="M120" t="s">
        <v>28</v>
      </c>
      <c r="N120" t="s">
        <v>588</v>
      </c>
      <c r="O120" t="s">
        <v>43</v>
      </c>
      <c r="P120" t="s">
        <v>166</v>
      </c>
      <c r="Q120" t="s">
        <v>839</v>
      </c>
      <c r="R120" t="s">
        <v>840</v>
      </c>
      <c r="S120">
        <v>3</v>
      </c>
      <c r="T120" s="2">
        <v>0.5</v>
      </c>
      <c r="U120" t="s">
        <v>841</v>
      </c>
    </row>
    <row r="121" spans="1:21">
      <c r="A121">
        <v>18</v>
      </c>
      <c r="B121" t="s">
        <v>842</v>
      </c>
      <c r="C121" s="1">
        <v>44807</v>
      </c>
      <c r="D121" s="1">
        <v>44810</v>
      </c>
      <c r="E121" t="s">
        <v>22</v>
      </c>
      <c r="F121" t="s">
        <v>843</v>
      </c>
      <c r="G121" t="s">
        <v>844</v>
      </c>
      <c r="H121" t="s">
        <v>39</v>
      </c>
      <c r="I121" t="s">
        <v>26</v>
      </c>
      <c r="J121" t="s">
        <v>150</v>
      </c>
      <c r="K121" t="s">
        <v>150</v>
      </c>
      <c r="L121">
        <v>86429</v>
      </c>
      <c r="M121" t="s">
        <v>73</v>
      </c>
      <c r="N121" t="s">
        <v>845</v>
      </c>
      <c r="O121" t="s">
        <v>30</v>
      </c>
      <c r="P121" t="s">
        <v>197</v>
      </c>
      <c r="Q121" t="s">
        <v>846</v>
      </c>
      <c r="R121" t="s">
        <v>847</v>
      </c>
      <c r="S121">
        <v>7</v>
      </c>
      <c r="T121" s="2">
        <v>0.15</v>
      </c>
      <c r="U121" t="s">
        <v>848</v>
      </c>
    </row>
    <row r="122" spans="1:21">
      <c r="A122">
        <v>347</v>
      </c>
      <c r="B122" t="s">
        <v>849</v>
      </c>
      <c r="C122" s="1">
        <v>44813</v>
      </c>
      <c r="D122" s="1">
        <v>44815</v>
      </c>
      <c r="E122" t="s">
        <v>49</v>
      </c>
      <c r="F122" t="s">
        <v>850</v>
      </c>
      <c r="G122" t="s">
        <v>851</v>
      </c>
      <c r="H122" t="s">
        <v>25</v>
      </c>
      <c r="I122" t="s">
        <v>26</v>
      </c>
      <c r="J122" t="s">
        <v>212</v>
      </c>
      <c r="K122" t="s">
        <v>212</v>
      </c>
      <c r="L122">
        <v>72559</v>
      </c>
      <c r="M122" t="s">
        <v>28</v>
      </c>
      <c r="N122" t="s">
        <v>852</v>
      </c>
      <c r="O122" t="s">
        <v>43</v>
      </c>
      <c r="P122" t="s">
        <v>44</v>
      </c>
      <c r="Q122" t="s">
        <v>853</v>
      </c>
      <c r="R122" t="s">
        <v>854</v>
      </c>
      <c r="S122">
        <v>1</v>
      </c>
      <c r="T122" s="2">
        <v>0.05</v>
      </c>
      <c r="U122" t="s">
        <v>855</v>
      </c>
    </row>
    <row r="123" spans="1:21">
      <c r="A123">
        <v>375</v>
      </c>
      <c r="B123" t="s">
        <v>856</v>
      </c>
      <c r="C123" s="1">
        <v>44814</v>
      </c>
      <c r="D123" s="1">
        <v>44816</v>
      </c>
      <c r="E123" t="s">
        <v>36</v>
      </c>
      <c r="F123" t="s">
        <v>857</v>
      </c>
      <c r="G123" t="s">
        <v>71</v>
      </c>
      <c r="H123" t="s">
        <v>39</v>
      </c>
      <c r="I123" t="s">
        <v>26</v>
      </c>
      <c r="J123" t="s">
        <v>363</v>
      </c>
      <c r="K123" t="s">
        <v>363</v>
      </c>
      <c r="L123">
        <v>91899</v>
      </c>
      <c r="M123" t="s">
        <v>62</v>
      </c>
      <c r="N123" t="s">
        <v>858</v>
      </c>
      <c r="O123" t="s">
        <v>43</v>
      </c>
      <c r="P123" t="s">
        <v>166</v>
      </c>
      <c r="Q123" t="s">
        <v>859</v>
      </c>
      <c r="R123" t="s">
        <v>860</v>
      </c>
      <c r="S123">
        <v>3</v>
      </c>
      <c r="T123" s="2">
        <v>0.3</v>
      </c>
      <c r="U123" t="s">
        <v>861</v>
      </c>
    </row>
    <row r="124" spans="1:21">
      <c r="A124">
        <v>586</v>
      </c>
      <c r="B124" t="s">
        <v>862</v>
      </c>
      <c r="C124" s="1">
        <v>44814</v>
      </c>
      <c r="D124" s="1">
        <v>44817</v>
      </c>
      <c r="E124" t="s">
        <v>382</v>
      </c>
      <c r="F124" t="s">
        <v>863</v>
      </c>
      <c r="G124" t="s">
        <v>683</v>
      </c>
      <c r="H124" t="s">
        <v>25</v>
      </c>
      <c r="I124" t="s">
        <v>26</v>
      </c>
      <c r="J124" t="s">
        <v>229</v>
      </c>
      <c r="K124" t="s">
        <v>229</v>
      </c>
      <c r="L124">
        <v>73146</v>
      </c>
      <c r="M124" t="s">
        <v>73</v>
      </c>
      <c r="N124" t="s">
        <v>864</v>
      </c>
      <c r="O124" t="s">
        <v>64</v>
      </c>
      <c r="P124" t="s">
        <v>105</v>
      </c>
      <c r="Q124" t="s">
        <v>331</v>
      </c>
      <c r="R124" t="s">
        <v>865</v>
      </c>
      <c r="S124">
        <v>2</v>
      </c>
      <c r="T124" s="2">
        <v>0.2</v>
      </c>
      <c r="U124" t="s">
        <v>866</v>
      </c>
    </row>
    <row r="125" spans="1:21">
      <c r="A125">
        <v>524</v>
      </c>
      <c r="B125" t="s">
        <v>867</v>
      </c>
      <c r="C125" s="1">
        <v>44819</v>
      </c>
      <c r="D125" s="1">
        <v>44822</v>
      </c>
      <c r="E125" t="s">
        <v>36</v>
      </c>
      <c r="F125" t="s">
        <v>868</v>
      </c>
      <c r="G125" t="s">
        <v>869</v>
      </c>
      <c r="H125" t="s">
        <v>25</v>
      </c>
      <c r="I125" t="s">
        <v>26</v>
      </c>
      <c r="J125" t="s">
        <v>61</v>
      </c>
      <c r="K125" t="s">
        <v>61</v>
      </c>
      <c r="L125">
        <v>39317</v>
      </c>
      <c r="M125" t="s">
        <v>62</v>
      </c>
      <c r="N125" t="s">
        <v>870</v>
      </c>
      <c r="O125" t="s">
        <v>43</v>
      </c>
      <c r="P125" t="s">
        <v>189</v>
      </c>
      <c r="Q125" t="s">
        <v>871</v>
      </c>
      <c r="R125" t="s">
        <v>872</v>
      </c>
      <c r="S125">
        <v>5</v>
      </c>
      <c r="T125" s="2">
        <v>0.2</v>
      </c>
      <c r="U125" t="s">
        <v>873</v>
      </c>
    </row>
    <row r="126" spans="1:21">
      <c r="A126">
        <v>355</v>
      </c>
      <c r="B126" t="s">
        <v>874</v>
      </c>
      <c r="C126" s="1">
        <v>44820</v>
      </c>
      <c r="D126" s="1">
        <v>44822</v>
      </c>
      <c r="E126" t="s">
        <v>49</v>
      </c>
      <c r="F126" t="s">
        <v>875</v>
      </c>
      <c r="G126" t="s">
        <v>876</v>
      </c>
      <c r="H126" t="s">
        <v>39</v>
      </c>
      <c r="I126" t="s">
        <v>26</v>
      </c>
      <c r="J126" t="s">
        <v>81</v>
      </c>
      <c r="K126" t="s">
        <v>81</v>
      </c>
      <c r="L126">
        <v>78321</v>
      </c>
      <c r="M126" t="s">
        <v>62</v>
      </c>
      <c r="N126" t="s">
        <v>280</v>
      </c>
      <c r="O126" t="s">
        <v>43</v>
      </c>
      <c r="P126" t="s">
        <v>44</v>
      </c>
      <c r="Q126" t="s">
        <v>877</v>
      </c>
      <c r="R126" t="s">
        <v>878</v>
      </c>
      <c r="S126">
        <v>7</v>
      </c>
      <c r="T126" s="2">
        <v>0.05</v>
      </c>
      <c r="U126" t="s">
        <v>879</v>
      </c>
    </row>
    <row r="127" spans="1:21">
      <c r="A127">
        <v>318</v>
      </c>
      <c r="B127" t="s">
        <v>880</v>
      </c>
      <c r="C127" s="1">
        <v>44826</v>
      </c>
      <c r="D127" s="1">
        <v>44829</v>
      </c>
      <c r="E127" t="s">
        <v>36</v>
      </c>
      <c r="F127" t="s">
        <v>881</v>
      </c>
      <c r="G127" t="s">
        <v>882</v>
      </c>
      <c r="H127" t="s">
        <v>60</v>
      </c>
      <c r="I127" t="s">
        <v>26</v>
      </c>
      <c r="J127" t="s">
        <v>245</v>
      </c>
      <c r="K127" t="s">
        <v>245</v>
      </c>
      <c r="L127">
        <v>47040</v>
      </c>
      <c r="M127" t="s">
        <v>41</v>
      </c>
      <c r="N127" t="s">
        <v>883</v>
      </c>
      <c r="O127" t="s">
        <v>43</v>
      </c>
      <c r="P127" t="s">
        <v>44</v>
      </c>
      <c r="Q127" t="s">
        <v>317</v>
      </c>
      <c r="R127" t="s">
        <v>884</v>
      </c>
      <c r="S127">
        <v>5</v>
      </c>
      <c r="T127" s="2">
        <v>0.05</v>
      </c>
      <c r="U127" t="s">
        <v>885</v>
      </c>
    </row>
    <row r="128" spans="1:21">
      <c r="A128">
        <v>529</v>
      </c>
      <c r="B128" t="s">
        <v>886</v>
      </c>
      <c r="C128" s="1">
        <v>44827</v>
      </c>
      <c r="D128" s="1">
        <v>44831</v>
      </c>
      <c r="E128" t="s">
        <v>49</v>
      </c>
      <c r="F128" t="s">
        <v>887</v>
      </c>
      <c r="G128" t="s">
        <v>244</v>
      </c>
      <c r="H128" t="s">
        <v>60</v>
      </c>
      <c r="I128" t="s">
        <v>26</v>
      </c>
      <c r="J128" t="s">
        <v>40</v>
      </c>
      <c r="K128" t="s">
        <v>40</v>
      </c>
      <c r="L128">
        <v>43038</v>
      </c>
      <c r="M128" t="s">
        <v>41</v>
      </c>
      <c r="N128" t="s">
        <v>499</v>
      </c>
      <c r="O128" t="s">
        <v>64</v>
      </c>
      <c r="P128" t="s">
        <v>65</v>
      </c>
      <c r="Q128" t="s">
        <v>66</v>
      </c>
      <c r="R128" t="s">
        <v>888</v>
      </c>
      <c r="S128">
        <v>5</v>
      </c>
      <c r="T128" s="2">
        <v>0.2</v>
      </c>
      <c r="U128" t="s">
        <v>889</v>
      </c>
    </row>
    <row r="129" spans="1:21">
      <c r="A129">
        <v>216</v>
      </c>
      <c r="B129" t="s">
        <v>890</v>
      </c>
      <c r="C129" s="1">
        <v>44828</v>
      </c>
      <c r="D129" s="1">
        <v>44830</v>
      </c>
      <c r="E129" t="s">
        <v>36</v>
      </c>
      <c r="F129" t="s">
        <v>891</v>
      </c>
      <c r="G129" t="s">
        <v>713</v>
      </c>
      <c r="H129" t="s">
        <v>25</v>
      </c>
      <c r="I129" t="s">
        <v>26</v>
      </c>
      <c r="J129" t="s">
        <v>27</v>
      </c>
      <c r="K129" t="s">
        <v>27</v>
      </c>
      <c r="L129">
        <v>14886</v>
      </c>
      <c r="M129" t="s">
        <v>28</v>
      </c>
      <c r="N129" t="s">
        <v>892</v>
      </c>
      <c r="O129" t="s">
        <v>43</v>
      </c>
      <c r="P129" t="s">
        <v>214</v>
      </c>
      <c r="Q129" t="s">
        <v>893</v>
      </c>
      <c r="R129" t="s">
        <v>894</v>
      </c>
      <c r="S129">
        <v>3</v>
      </c>
      <c r="T129" s="2">
        <v>0.05</v>
      </c>
      <c r="U129" t="s">
        <v>895</v>
      </c>
    </row>
    <row r="130" spans="1:21">
      <c r="A130">
        <v>248</v>
      </c>
      <c r="B130" t="s">
        <v>896</v>
      </c>
      <c r="C130" s="1">
        <v>44830</v>
      </c>
      <c r="D130" s="1">
        <v>44833</v>
      </c>
      <c r="E130" t="s">
        <v>22</v>
      </c>
      <c r="F130" t="s">
        <v>897</v>
      </c>
      <c r="G130" t="s">
        <v>851</v>
      </c>
      <c r="H130" t="s">
        <v>25</v>
      </c>
      <c r="I130" t="s">
        <v>26</v>
      </c>
      <c r="J130" t="s">
        <v>173</v>
      </c>
      <c r="K130" t="s">
        <v>173</v>
      </c>
      <c r="L130">
        <v>40143</v>
      </c>
      <c r="M130" t="s">
        <v>73</v>
      </c>
      <c r="N130" t="s">
        <v>898</v>
      </c>
      <c r="O130" t="s">
        <v>30</v>
      </c>
      <c r="P130" t="s">
        <v>120</v>
      </c>
      <c r="Q130" t="s">
        <v>899</v>
      </c>
      <c r="R130" t="s">
        <v>900</v>
      </c>
      <c r="S130">
        <v>2</v>
      </c>
      <c r="T130" s="2">
        <v>0</v>
      </c>
      <c r="U130" t="s">
        <v>901</v>
      </c>
    </row>
    <row r="131" spans="1:21">
      <c r="A131">
        <v>90</v>
      </c>
      <c r="B131" t="s">
        <v>902</v>
      </c>
      <c r="C131" s="1">
        <v>44831</v>
      </c>
      <c r="D131" s="1">
        <v>44834</v>
      </c>
      <c r="E131" t="s">
        <v>36</v>
      </c>
      <c r="F131" t="s">
        <v>903</v>
      </c>
      <c r="G131" t="s">
        <v>561</v>
      </c>
      <c r="H131" t="s">
        <v>25</v>
      </c>
      <c r="I131" t="s">
        <v>26</v>
      </c>
      <c r="J131" t="s">
        <v>72</v>
      </c>
      <c r="K131" t="s">
        <v>72</v>
      </c>
      <c r="L131">
        <v>36155</v>
      </c>
      <c r="M131" t="s">
        <v>73</v>
      </c>
      <c r="N131" t="s">
        <v>904</v>
      </c>
      <c r="O131" t="s">
        <v>43</v>
      </c>
      <c r="P131" t="s">
        <v>189</v>
      </c>
      <c r="Q131" t="s">
        <v>905</v>
      </c>
      <c r="R131" t="s">
        <v>906</v>
      </c>
      <c r="S131">
        <v>7</v>
      </c>
      <c r="T131" s="2">
        <v>0.2</v>
      </c>
      <c r="U131" t="s">
        <v>508</v>
      </c>
    </row>
    <row r="132" spans="1:21">
      <c r="A132">
        <v>242</v>
      </c>
      <c r="B132" t="s">
        <v>907</v>
      </c>
      <c r="C132" s="1">
        <v>44832</v>
      </c>
      <c r="D132" s="1">
        <v>44835</v>
      </c>
      <c r="E132" t="s">
        <v>22</v>
      </c>
      <c r="F132" t="s">
        <v>908</v>
      </c>
      <c r="G132" t="s">
        <v>909</v>
      </c>
      <c r="H132" t="s">
        <v>39</v>
      </c>
      <c r="I132" t="s">
        <v>26</v>
      </c>
      <c r="J132" t="s">
        <v>229</v>
      </c>
      <c r="K132" t="s">
        <v>229</v>
      </c>
      <c r="L132">
        <v>14765</v>
      </c>
      <c r="M132" t="s">
        <v>73</v>
      </c>
      <c r="N132" t="s">
        <v>910</v>
      </c>
      <c r="O132" t="s">
        <v>43</v>
      </c>
      <c r="P132" t="s">
        <v>128</v>
      </c>
      <c r="Q132" t="s">
        <v>911</v>
      </c>
      <c r="R132" t="s">
        <v>912</v>
      </c>
      <c r="S132">
        <v>7</v>
      </c>
      <c r="T132" s="2">
        <v>0.1</v>
      </c>
      <c r="U132" t="s">
        <v>913</v>
      </c>
    </row>
    <row r="133" spans="1:21">
      <c r="A133">
        <v>82</v>
      </c>
      <c r="B133" t="s">
        <v>914</v>
      </c>
      <c r="C133" s="1">
        <v>44835</v>
      </c>
      <c r="D133" s="1">
        <v>44839</v>
      </c>
      <c r="E133" t="s">
        <v>49</v>
      </c>
      <c r="F133" t="s">
        <v>915</v>
      </c>
      <c r="G133" t="s">
        <v>916</v>
      </c>
      <c r="H133" t="s">
        <v>25</v>
      </c>
      <c r="I133" t="s">
        <v>26</v>
      </c>
      <c r="J133" t="s">
        <v>61</v>
      </c>
      <c r="K133" t="s">
        <v>61</v>
      </c>
      <c r="L133">
        <v>58787</v>
      </c>
      <c r="M133" t="s">
        <v>62</v>
      </c>
      <c r="N133" t="s">
        <v>917</v>
      </c>
      <c r="O133" t="s">
        <v>43</v>
      </c>
      <c r="P133" t="s">
        <v>189</v>
      </c>
      <c r="Q133" t="s">
        <v>295</v>
      </c>
      <c r="R133" t="s">
        <v>918</v>
      </c>
      <c r="S133">
        <v>4</v>
      </c>
      <c r="T133" s="2">
        <v>0.5</v>
      </c>
      <c r="U133" t="s">
        <v>919</v>
      </c>
    </row>
    <row r="134" spans="1:21">
      <c r="A134">
        <v>172</v>
      </c>
      <c r="B134" t="s">
        <v>920</v>
      </c>
      <c r="C134" s="1">
        <v>44835</v>
      </c>
      <c r="D134" s="1">
        <v>44839</v>
      </c>
      <c r="E134" t="s">
        <v>36</v>
      </c>
      <c r="F134" t="s">
        <v>921</v>
      </c>
      <c r="G134" t="s">
        <v>322</v>
      </c>
      <c r="H134" t="s">
        <v>39</v>
      </c>
      <c r="I134" t="s">
        <v>26</v>
      </c>
      <c r="J134" t="s">
        <v>61</v>
      </c>
      <c r="K134" t="s">
        <v>61</v>
      </c>
      <c r="L134">
        <v>72507</v>
      </c>
      <c r="M134" t="s">
        <v>62</v>
      </c>
      <c r="N134" t="s">
        <v>922</v>
      </c>
      <c r="O134" t="s">
        <v>43</v>
      </c>
      <c r="P134" t="s">
        <v>44</v>
      </c>
      <c r="Q134" t="s">
        <v>239</v>
      </c>
      <c r="R134" t="s">
        <v>923</v>
      </c>
      <c r="S134">
        <v>4</v>
      </c>
      <c r="T134" s="2">
        <v>0</v>
      </c>
      <c r="U134" t="s">
        <v>924</v>
      </c>
    </row>
    <row r="135" spans="1:21">
      <c r="A135">
        <v>227</v>
      </c>
      <c r="B135" t="s">
        <v>925</v>
      </c>
      <c r="C135" s="1">
        <v>44837</v>
      </c>
      <c r="D135" s="1">
        <v>44840</v>
      </c>
      <c r="E135" t="s">
        <v>22</v>
      </c>
      <c r="F135" t="s">
        <v>926</v>
      </c>
      <c r="G135" t="s">
        <v>876</v>
      </c>
      <c r="H135" t="s">
        <v>39</v>
      </c>
      <c r="I135" t="s">
        <v>26</v>
      </c>
      <c r="J135" t="s">
        <v>150</v>
      </c>
      <c r="K135" t="s">
        <v>150</v>
      </c>
      <c r="L135">
        <v>79681</v>
      </c>
      <c r="M135" t="s">
        <v>73</v>
      </c>
      <c r="N135" t="s">
        <v>119</v>
      </c>
      <c r="O135" t="s">
        <v>64</v>
      </c>
      <c r="P135" t="s">
        <v>65</v>
      </c>
      <c r="Q135" t="s">
        <v>927</v>
      </c>
      <c r="R135" t="s">
        <v>928</v>
      </c>
      <c r="S135">
        <v>3</v>
      </c>
      <c r="T135" s="2">
        <v>0.3</v>
      </c>
      <c r="U135" t="s">
        <v>929</v>
      </c>
    </row>
    <row r="136" spans="1:21">
      <c r="A136">
        <v>344</v>
      </c>
      <c r="B136" t="s">
        <v>930</v>
      </c>
      <c r="C136" s="1">
        <v>44838</v>
      </c>
      <c r="D136" s="1">
        <v>44841</v>
      </c>
      <c r="E136" t="s">
        <v>36</v>
      </c>
      <c r="F136" t="s">
        <v>931</v>
      </c>
      <c r="G136" t="s">
        <v>932</v>
      </c>
      <c r="H136" t="s">
        <v>25</v>
      </c>
      <c r="I136" t="s">
        <v>26</v>
      </c>
      <c r="J136" t="s">
        <v>27</v>
      </c>
      <c r="K136" t="s">
        <v>27</v>
      </c>
      <c r="L136">
        <v>91494</v>
      </c>
      <c r="M136" t="s">
        <v>28</v>
      </c>
      <c r="N136" t="s">
        <v>933</v>
      </c>
      <c r="O136" t="s">
        <v>30</v>
      </c>
      <c r="P136" t="s">
        <v>222</v>
      </c>
      <c r="Q136" t="s">
        <v>934</v>
      </c>
      <c r="R136" t="s">
        <v>935</v>
      </c>
      <c r="S136">
        <v>5</v>
      </c>
      <c r="T136" s="2">
        <v>0.3</v>
      </c>
      <c r="U136" t="s">
        <v>936</v>
      </c>
    </row>
    <row r="137" spans="1:21">
      <c r="A137">
        <v>480</v>
      </c>
      <c r="B137" t="s">
        <v>937</v>
      </c>
      <c r="C137" s="1">
        <v>44838</v>
      </c>
      <c r="D137" s="1">
        <v>44842</v>
      </c>
      <c r="E137" t="s">
        <v>49</v>
      </c>
      <c r="F137" t="s">
        <v>938</v>
      </c>
      <c r="G137" t="s">
        <v>939</v>
      </c>
      <c r="H137" t="s">
        <v>25</v>
      </c>
      <c r="I137" t="s">
        <v>26</v>
      </c>
      <c r="J137" t="s">
        <v>260</v>
      </c>
      <c r="K137" t="s">
        <v>260</v>
      </c>
      <c r="L137">
        <v>50077</v>
      </c>
      <c r="M137" t="s">
        <v>41</v>
      </c>
      <c r="N137" t="s">
        <v>940</v>
      </c>
      <c r="O137" t="s">
        <v>43</v>
      </c>
      <c r="P137" t="s">
        <v>214</v>
      </c>
      <c r="Q137" t="s">
        <v>215</v>
      </c>
      <c r="R137" t="s">
        <v>941</v>
      </c>
      <c r="S137">
        <v>3</v>
      </c>
      <c r="T137" s="2">
        <v>0.5</v>
      </c>
      <c r="U137" t="s">
        <v>942</v>
      </c>
    </row>
    <row r="138" spans="1:21">
      <c r="A138">
        <v>401</v>
      </c>
      <c r="B138" t="s">
        <v>943</v>
      </c>
      <c r="C138" s="1">
        <v>44841</v>
      </c>
      <c r="D138" s="1">
        <v>44843</v>
      </c>
      <c r="E138" t="s">
        <v>36</v>
      </c>
      <c r="F138" t="s">
        <v>944</v>
      </c>
      <c r="G138" t="s">
        <v>945</v>
      </c>
      <c r="H138" t="s">
        <v>39</v>
      </c>
      <c r="I138" t="s">
        <v>26</v>
      </c>
      <c r="J138" t="s">
        <v>204</v>
      </c>
      <c r="K138" t="s">
        <v>204</v>
      </c>
      <c r="L138">
        <v>57708</v>
      </c>
      <c r="M138" t="s">
        <v>28</v>
      </c>
      <c r="N138" t="s">
        <v>946</v>
      </c>
      <c r="O138" t="s">
        <v>64</v>
      </c>
      <c r="P138" t="s">
        <v>405</v>
      </c>
      <c r="Q138" t="s">
        <v>947</v>
      </c>
      <c r="R138" t="s">
        <v>948</v>
      </c>
      <c r="S138">
        <v>1</v>
      </c>
      <c r="T138" s="2">
        <v>0.4</v>
      </c>
      <c r="U138" t="s">
        <v>949</v>
      </c>
    </row>
    <row r="139" spans="1:21">
      <c r="A139">
        <v>328</v>
      </c>
      <c r="B139" t="s">
        <v>950</v>
      </c>
      <c r="C139" s="1">
        <v>44844</v>
      </c>
      <c r="D139" s="1">
        <v>44846</v>
      </c>
      <c r="E139" t="s">
        <v>36</v>
      </c>
      <c r="F139" t="s">
        <v>951</v>
      </c>
      <c r="G139" t="s">
        <v>952</v>
      </c>
      <c r="H139" t="s">
        <v>60</v>
      </c>
      <c r="I139" t="s">
        <v>26</v>
      </c>
      <c r="J139" t="s">
        <v>229</v>
      </c>
      <c r="K139" t="s">
        <v>229</v>
      </c>
      <c r="L139">
        <v>41406</v>
      </c>
      <c r="M139" t="s">
        <v>73</v>
      </c>
      <c r="N139" t="s">
        <v>953</v>
      </c>
      <c r="O139" t="s">
        <v>64</v>
      </c>
      <c r="P139" t="s">
        <v>105</v>
      </c>
      <c r="Q139" t="s">
        <v>954</v>
      </c>
      <c r="R139" t="s">
        <v>955</v>
      </c>
      <c r="S139">
        <v>6</v>
      </c>
      <c r="T139" s="2">
        <v>0.1</v>
      </c>
      <c r="U139" t="s">
        <v>956</v>
      </c>
    </row>
    <row r="140" spans="1:21">
      <c r="A140">
        <v>199</v>
      </c>
      <c r="B140" t="s">
        <v>957</v>
      </c>
      <c r="C140" s="1">
        <v>44845</v>
      </c>
      <c r="D140" s="1">
        <v>44849</v>
      </c>
      <c r="E140" t="s">
        <v>22</v>
      </c>
      <c r="F140" t="s">
        <v>958</v>
      </c>
      <c r="G140" t="s">
        <v>959</v>
      </c>
      <c r="H140" t="s">
        <v>39</v>
      </c>
      <c r="I140" t="s">
        <v>26</v>
      </c>
      <c r="J140" t="s">
        <v>229</v>
      </c>
      <c r="K140" t="s">
        <v>229</v>
      </c>
      <c r="L140">
        <v>92289</v>
      </c>
      <c r="M140" t="s">
        <v>73</v>
      </c>
      <c r="N140" t="s">
        <v>960</v>
      </c>
      <c r="O140" t="s">
        <v>43</v>
      </c>
      <c r="P140" t="s">
        <v>214</v>
      </c>
      <c r="Q140" t="s">
        <v>473</v>
      </c>
      <c r="R140" t="s">
        <v>961</v>
      </c>
      <c r="S140">
        <v>5</v>
      </c>
      <c r="T140" s="2">
        <v>0.2</v>
      </c>
      <c r="U140" t="s">
        <v>962</v>
      </c>
    </row>
    <row r="141" spans="1:21">
      <c r="A141">
        <v>469</v>
      </c>
      <c r="B141" t="s">
        <v>963</v>
      </c>
      <c r="C141" s="1">
        <v>44849</v>
      </c>
      <c r="D141" s="1">
        <v>44853</v>
      </c>
      <c r="E141" t="s">
        <v>36</v>
      </c>
      <c r="F141" t="s">
        <v>964</v>
      </c>
      <c r="G141" t="s">
        <v>203</v>
      </c>
      <c r="H141" t="s">
        <v>60</v>
      </c>
      <c r="I141" t="s">
        <v>26</v>
      </c>
      <c r="J141" t="s">
        <v>40</v>
      </c>
      <c r="K141" t="s">
        <v>40</v>
      </c>
      <c r="L141">
        <v>99520</v>
      </c>
      <c r="M141" t="s">
        <v>41</v>
      </c>
      <c r="N141" t="s">
        <v>965</v>
      </c>
      <c r="O141" t="s">
        <v>30</v>
      </c>
      <c r="P141" t="s">
        <v>197</v>
      </c>
      <c r="Q141" t="s">
        <v>966</v>
      </c>
      <c r="R141" t="s">
        <v>967</v>
      </c>
      <c r="S141">
        <v>4</v>
      </c>
      <c r="T141" s="2">
        <v>0.2</v>
      </c>
      <c r="U141" t="s">
        <v>968</v>
      </c>
    </row>
    <row r="142" spans="1:21">
      <c r="A142">
        <v>592</v>
      </c>
      <c r="B142" t="s">
        <v>969</v>
      </c>
      <c r="C142" s="1">
        <v>44849</v>
      </c>
      <c r="D142" s="1">
        <v>44852</v>
      </c>
      <c r="E142" t="s">
        <v>49</v>
      </c>
      <c r="F142" t="s">
        <v>970</v>
      </c>
      <c r="G142" t="s">
        <v>492</v>
      </c>
      <c r="H142" t="s">
        <v>25</v>
      </c>
      <c r="I142" t="s">
        <v>26</v>
      </c>
      <c r="J142" t="s">
        <v>641</v>
      </c>
      <c r="K142" t="s">
        <v>641</v>
      </c>
      <c r="L142">
        <v>77594</v>
      </c>
      <c r="M142" t="s">
        <v>62</v>
      </c>
      <c r="N142" t="s">
        <v>971</v>
      </c>
      <c r="O142" t="s">
        <v>43</v>
      </c>
      <c r="P142" t="s">
        <v>166</v>
      </c>
      <c r="Q142" t="s">
        <v>972</v>
      </c>
      <c r="R142" t="s">
        <v>973</v>
      </c>
      <c r="S142">
        <v>3</v>
      </c>
      <c r="T142" s="2">
        <v>0.1</v>
      </c>
      <c r="U142" t="s">
        <v>974</v>
      </c>
    </row>
    <row r="143" spans="1:21">
      <c r="A143">
        <v>50</v>
      </c>
      <c r="B143" t="s">
        <v>975</v>
      </c>
      <c r="C143" s="1">
        <v>44850</v>
      </c>
      <c r="D143" s="1">
        <v>44851</v>
      </c>
      <c r="E143" t="s">
        <v>36</v>
      </c>
      <c r="F143" t="s">
        <v>976</v>
      </c>
      <c r="G143" t="s">
        <v>518</v>
      </c>
      <c r="H143" t="s">
        <v>60</v>
      </c>
      <c r="I143" t="s">
        <v>26</v>
      </c>
      <c r="J143" t="s">
        <v>363</v>
      </c>
      <c r="K143" t="s">
        <v>363</v>
      </c>
      <c r="L143">
        <v>24382</v>
      </c>
      <c r="M143" t="s">
        <v>62</v>
      </c>
      <c r="N143" t="s">
        <v>977</v>
      </c>
      <c r="O143" t="s">
        <v>43</v>
      </c>
      <c r="P143" t="s">
        <v>44</v>
      </c>
      <c r="Q143" t="s">
        <v>231</v>
      </c>
      <c r="R143" t="s">
        <v>978</v>
      </c>
      <c r="S143">
        <v>4</v>
      </c>
      <c r="T143" s="2">
        <v>0.15</v>
      </c>
      <c r="U143" t="s">
        <v>979</v>
      </c>
    </row>
    <row r="144" spans="1:21">
      <c r="A144">
        <v>187</v>
      </c>
      <c r="B144" t="s">
        <v>980</v>
      </c>
      <c r="C144" s="1">
        <v>44851</v>
      </c>
      <c r="D144" s="1">
        <v>44856</v>
      </c>
      <c r="E144" t="s">
        <v>36</v>
      </c>
      <c r="F144" t="s">
        <v>981</v>
      </c>
      <c r="G144" t="s">
        <v>982</v>
      </c>
      <c r="H144" t="s">
        <v>25</v>
      </c>
      <c r="I144" t="s">
        <v>26</v>
      </c>
      <c r="J144" t="s">
        <v>237</v>
      </c>
      <c r="K144" t="s">
        <v>237</v>
      </c>
      <c r="L144">
        <v>95076</v>
      </c>
      <c r="M144" t="s">
        <v>41</v>
      </c>
      <c r="N144" t="s">
        <v>983</v>
      </c>
      <c r="O144" t="s">
        <v>30</v>
      </c>
      <c r="P144" t="s">
        <v>120</v>
      </c>
      <c r="Q144" t="s">
        <v>420</v>
      </c>
      <c r="R144" t="s">
        <v>984</v>
      </c>
      <c r="S144">
        <v>1</v>
      </c>
      <c r="T144" s="2">
        <v>0.2</v>
      </c>
      <c r="U144" t="s">
        <v>985</v>
      </c>
    </row>
    <row r="145" spans="1:21">
      <c r="A145">
        <v>70</v>
      </c>
      <c r="B145" t="s">
        <v>986</v>
      </c>
      <c r="C145" s="1">
        <v>44854</v>
      </c>
      <c r="D145" s="1">
        <v>44855</v>
      </c>
      <c r="E145" t="s">
        <v>36</v>
      </c>
      <c r="F145" t="s">
        <v>987</v>
      </c>
      <c r="G145" t="s">
        <v>95</v>
      </c>
      <c r="H145" t="s">
        <v>25</v>
      </c>
      <c r="I145" t="s">
        <v>26</v>
      </c>
      <c r="J145" t="s">
        <v>301</v>
      </c>
      <c r="K145" t="s">
        <v>301</v>
      </c>
      <c r="L145">
        <v>72211</v>
      </c>
      <c r="M145" t="s">
        <v>73</v>
      </c>
      <c r="N145" t="s">
        <v>988</v>
      </c>
      <c r="O145" t="s">
        <v>64</v>
      </c>
      <c r="P145" t="s">
        <v>405</v>
      </c>
      <c r="Q145" t="s">
        <v>989</v>
      </c>
      <c r="R145" t="s">
        <v>990</v>
      </c>
      <c r="S145">
        <v>3</v>
      </c>
      <c r="T145" s="2">
        <v>0.4</v>
      </c>
      <c r="U145" t="s">
        <v>991</v>
      </c>
    </row>
    <row r="146" spans="1:21">
      <c r="A146">
        <v>420</v>
      </c>
      <c r="B146" t="s">
        <v>992</v>
      </c>
      <c r="C146" s="1">
        <v>44854</v>
      </c>
      <c r="D146" s="1">
        <v>44859</v>
      </c>
      <c r="E146" t="s">
        <v>382</v>
      </c>
      <c r="F146" t="s">
        <v>993</v>
      </c>
      <c r="G146" t="s">
        <v>994</v>
      </c>
      <c r="H146" t="s">
        <v>39</v>
      </c>
      <c r="I146" t="s">
        <v>26</v>
      </c>
      <c r="J146" t="s">
        <v>52</v>
      </c>
      <c r="K146" t="s">
        <v>52</v>
      </c>
      <c r="L146">
        <v>48889</v>
      </c>
      <c r="M146" t="s">
        <v>41</v>
      </c>
      <c r="N146" t="s">
        <v>953</v>
      </c>
      <c r="O146" t="s">
        <v>30</v>
      </c>
      <c r="P146" t="s">
        <v>222</v>
      </c>
      <c r="Q146" t="s">
        <v>995</v>
      </c>
      <c r="R146" t="s">
        <v>996</v>
      </c>
      <c r="S146">
        <v>3</v>
      </c>
      <c r="T146" s="2">
        <v>0</v>
      </c>
      <c r="U146" t="s">
        <v>997</v>
      </c>
    </row>
    <row r="147" spans="1:21">
      <c r="A147">
        <v>575</v>
      </c>
      <c r="B147" t="s">
        <v>998</v>
      </c>
      <c r="C147" s="1">
        <v>44854</v>
      </c>
      <c r="D147" s="1">
        <v>44859</v>
      </c>
      <c r="E147" t="s">
        <v>36</v>
      </c>
      <c r="F147" t="s">
        <v>999</v>
      </c>
      <c r="G147" t="s">
        <v>126</v>
      </c>
      <c r="H147" t="s">
        <v>25</v>
      </c>
      <c r="I147" t="s">
        <v>26</v>
      </c>
      <c r="J147" t="s">
        <v>641</v>
      </c>
      <c r="K147" t="s">
        <v>641</v>
      </c>
      <c r="L147">
        <v>65030</v>
      </c>
      <c r="M147" t="s">
        <v>62</v>
      </c>
      <c r="N147" t="s">
        <v>1000</v>
      </c>
      <c r="O147" t="s">
        <v>43</v>
      </c>
      <c r="P147" t="s">
        <v>44</v>
      </c>
      <c r="Q147" t="s">
        <v>1001</v>
      </c>
      <c r="R147" t="s">
        <v>1002</v>
      </c>
      <c r="S147">
        <v>3</v>
      </c>
      <c r="T147" s="2">
        <v>0.15</v>
      </c>
      <c r="U147" t="s">
        <v>1003</v>
      </c>
    </row>
    <row r="148" spans="1:21">
      <c r="A148">
        <v>165</v>
      </c>
      <c r="B148" t="s">
        <v>1004</v>
      </c>
      <c r="C148" s="1">
        <v>44856</v>
      </c>
      <c r="D148" s="1">
        <v>44859</v>
      </c>
      <c r="E148" t="s">
        <v>36</v>
      </c>
      <c r="F148" t="s">
        <v>1005</v>
      </c>
      <c r="G148" t="s">
        <v>411</v>
      </c>
      <c r="H148" t="s">
        <v>25</v>
      </c>
      <c r="I148" t="s">
        <v>26</v>
      </c>
      <c r="J148" t="s">
        <v>237</v>
      </c>
      <c r="K148" t="s">
        <v>237</v>
      </c>
      <c r="L148">
        <v>40750</v>
      </c>
      <c r="M148" t="s">
        <v>41</v>
      </c>
      <c r="N148" t="s">
        <v>1006</v>
      </c>
      <c r="O148" t="s">
        <v>64</v>
      </c>
      <c r="P148" t="s">
        <v>136</v>
      </c>
      <c r="Q148" t="s">
        <v>1007</v>
      </c>
      <c r="R148" t="s">
        <v>1008</v>
      </c>
      <c r="S148">
        <v>1</v>
      </c>
      <c r="T148" s="2">
        <v>0.2</v>
      </c>
      <c r="U148" t="s">
        <v>1009</v>
      </c>
    </row>
    <row r="149" spans="1:21">
      <c r="A149">
        <v>203</v>
      </c>
      <c r="B149" t="s">
        <v>1010</v>
      </c>
      <c r="C149" s="1">
        <v>44856</v>
      </c>
      <c r="D149" s="1">
        <v>44858</v>
      </c>
      <c r="E149" t="s">
        <v>49</v>
      </c>
      <c r="F149" t="s">
        <v>1011</v>
      </c>
      <c r="G149" t="s">
        <v>1012</v>
      </c>
      <c r="H149" t="s">
        <v>39</v>
      </c>
      <c r="I149" t="s">
        <v>26</v>
      </c>
      <c r="J149" t="s">
        <v>212</v>
      </c>
      <c r="K149" t="s">
        <v>212</v>
      </c>
      <c r="L149">
        <v>57195</v>
      </c>
      <c r="M149" t="s">
        <v>28</v>
      </c>
      <c r="N149" t="s">
        <v>608</v>
      </c>
      <c r="O149" t="s">
        <v>64</v>
      </c>
      <c r="P149" t="s">
        <v>65</v>
      </c>
      <c r="Q149" t="s">
        <v>1013</v>
      </c>
      <c r="R149" t="s">
        <v>1014</v>
      </c>
      <c r="S149">
        <v>2</v>
      </c>
      <c r="T149" s="2">
        <v>0.05</v>
      </c>
      <c r="U149" t="s">
        <v>1015</v>
      </c>
    </row>
    <row r="150" spans="1:21">
      <c r="A150">
        <v>559</v>
      </c>
      <c r="B150" t="s">
        <v>1016</v>
      </c>
      <c r="C150" s="1">
        <v>44857</v>
      </c>
      <c r="D150" s="1">
        <v>44861</v>
      </c>
      <c r="E150" t="s">
        <v>36</v>
      </c>
      <c r="F150" t="s">
        <v>1017</v>
      </c>
      <c r="G150" t="s">
        <v>1018</v>
      </c>
      <c r="H150" t="s">
        <v>25</v>
      </c>
      <c r="I150" t="s">
        <v>26</v>
      </c>
      <c r="J150" t="s">
        <v>641</v>
      </c>
      <c r="K150" t="s">
        <v>641</v>
      </c>
      <c r="L150">
        <v>73822</v>
      </c>
      <c r="M150" t="s">
        <v>62</v>
      </c>
      <c r="N150" t="s">
        <v>1019</v>
      </c>
      <c r="O150" t="s">
        <v>30</v>
      </c>
      <c r="P150" t="s">
        <v>197</v>
      </c>
      <c r="Q150" t="s">
        <v>1020</v>
      </c>
      <c r="R150" t="s">
        <v>1021</v>
      </c>
      <c r="S150">
        <v>1</v>
      </c>
      <c r="T150" s="2">
        <v>0.3</v>
      </c>
      <c r="U150" t="s">
        <v>1022</v>
      </c>
    </row>
    <row r="151" spans="1:21">
      <c r="A151">
        <v>290</v>
      </c>
      <c r="B151" t="s">
        <v>1023</v>
      </c>
      <c r="C151" s="1">
        <v>44857</v>
      </c>
      <c r="D151" s="1">
        <v>44860</v>
      </c>
      <c r="E151" t="s">
        <v>36</v>
      </c>
      <c r="F151" t="s">
        <v>1024</v>
      </c>
      <c r="G151" t="s">
        <v>1025</v>
      </c>
      <c r="H151" t="s">
        <v>25</v>
      </c>
      <c r="I151" t="s">
        <v>26</v>
      </c>
      <c r="J151" t="s">
        <v>173</v>
      </c>
      <c r="K151" t="s">
        <v>173</v>
      </c>
      <c r="L151">
        <v>10901</v>
      </c>
      <c r="M151" t="s">
        <v>73</v>
      </c>
      <c r="N151" t="s">
        <v>1026</v>
      </c>
      <c r="O151" t="s">
        <v>43</v>
      </c>
      <c r="P151" t="s">
        <v>83</v>
      </c>
      <c r="Q151" t="s">
        <v>1027</v>
      </c>
      <c r="R151" t="s">
        <v>1028</v>
      </c>
      <c r="S151">
        <v>1</v>
      </c>
      <c r="T151" s="2">
        <v>0.15</v>
      </c>
      <c r="U151" t="s">
        <v>1029</v>
      </c>
    </row>
    <row r="152" spans="1:21">
      <c r="A152">
        <v>96</v>
      </c>
      <c r="B152" t="s">
        <v>1030</v>
      </c>
      <c r="C152" s="1">
        <v>44866</v>
      </c>
      <c r="D152" s="1">
        <v>44869</v>
      </c>
      <c r="E152" t="s">
        <v>36</v>
      </c>
      <c r="F152" t="s">
        <v>1031</v>
      </c>
      <c r="G152" t="s">
        <v>492</v>
      </c>
      <c r="H152" t="s">
        <v>39</v>
      </c>
      <c r="I152" t="s">
        <v>26</v>
      </c>
      <c r="J152" t="s">
        <v>245</v>
      </c>
      <c r="K152" t="s">
        <v>245</v>
      </c>
      <c r="L152">
        <v>31636</v>
      </c>
      <c r="M152" t="s">
        <v>41</v>
      </c>
      <c r="N152" t="s">
        <v>1032</v>
      </c>
      <c r="O152" t="s">
        <v>30</v>
      </c>
      <c r="P152" t="s">
        <v>197</v>
      </c>
      <c r="Q152" t="s">
        <v>1033</v>
      </c>
      <c r="R152" t="s">
        <v>1034</v>
      </c>
      <c r="S152">
        <v>2</v>
      </c>
      <c r="T152" s="2">
        <v>0.15</v>
      </c>
      <c r="U152" t="s">
        <v>1035</v>
      </c>
    </row>
    <row r="153" spans="1:21">
      <c r="A153">
        <v>157</v>
      </c>
      <c r="B153" t="s">
        <v>1036</v>
      </c>
      <c r="C153" s="1">
        <v>44866</v>
      </c>
      <c r="D153" s="1">
        <v>44869</v>
      </c>
      <c r="E153" t="s">
        <v>36</v>
      </c>
      <c r="F153" t="s">
        <v>1037</v>
      </c>
      <c r="G153" t="s">
        <v>471</v>
      </c>
      <c r="H153" t="s">
        <v>60</v>
      </c>
      <c r="I153" t="s">
        <v>26</v>
      </c>
      <c r="J153" t="s">
        <v>229</v>
      </c>
      <c r="K153" t="s">
        <v>229</v>
      </c>
      <c r="L153">
        <v>10358</v>
      </c>
      <c r="M153" t="s">
        <v>73</v>
      </c>
      <c r="N153" t="s">
        <v>1038</v>
      </c>
      <c r="O153" t="s">
        <v>64</v>
      </c>
      <c r="P153" t="s">
        <v>405</v>
      </c>
      <c r="Q153" t="s">
        <v>1039</v>
      </c>
      <c r="R153" t="s">
        <v>1040</v>
      </c>
      <c r="S153">
        <v>3</v>
      </c>
      <c r="T153" s="2">
        <v>0.05</v>
      </c>
      <c r="U153" t="s">
        <v>1041</v>
      </c>
    </row>
    <row r="154" spans="1:21">
      <c r="A154">
        <v>284</v>
      </c>
      <c r="B154" t="s">
        <v>1042</v>
      </c>
      <c r="C154" s="1">
        <v>44867</v>
      </c>
      <c r="D154" s="1">
        <v>44869</v>
      </c>
      <c r="E154" t="s">
        <v>36</v>
      </c>
      <c r="F154" t="s">
        <v>1043</v>
      </c>
      <c r="G154" t="s">
        <v>1044</v>
      </c>
      <c r="H154" t="s">
        <v>25</v>
      </c>
      <c r="I154" t="s">
        <v>26</v>
      </c>
      <c r="J154" t="s">
        <v>173</v>
      </c>
      <c r="K154" t="s">
        <v>173</v>
      </c>
      <c r="L154">
        <v>28610</v>
      </c>
      <c r="M154" t="s">
        <v>73</v>
      </c>
      <c r="N154" t="s">
        <v>1045</v>
      </c>
      <c r="O154" t="s">
        <v>64</v>
      </c>
      <c r="P154" t="s">
        <v>136</v>
      </c>
      <c r="Q154" t="s">
        <v>1046</v>
      </c>
      <c r="R154" t="s">
        <v>1047</v>
      </c>
      <c r="S154">
        <v>6</v>
      </c>
      <c r="T154" s="2">
        <v>0.2</v>
      </c>
      <c r="U154" t="s">
        <v>1048</v>
      </c>
    </row>
    <row r="155" spans="1:21">
      <c r="A155">
        <v>517</v>
      </c>
      <c r="B155" t="s">
        <v>1049</v>
      </c>
      <c r="C155" s="1">
        <v>44869</v>
      </c>
      <c r="D155" s="1">
        <v>44873</v>
      </c>
      <c r="E155" t="s">
        <v>49</v>
      </c>
      <c r="F155" t="s">
        <v>1050</v>
      </c>
      <c r="G155" t="s">
        <v>640</v>
      </c>
      <c r="H155" t="s">
        <v>39</v>
      </c>
      <c r="I155" t="s">
        <v>26</v>
      </c>
      <c r="J155" t="s">
        <v>157</v>
      </c>
      <c r="K155" t="s">
        <v>157</v>
      </c>
      <c r="L155">
        <v>92001</v>
      </c>
      <c r="M155" t="s">
        <v>62</v>
      </c>
      <c r="N155" t="s">
        <v>1051</v>
      </c>
      <c r="O155" t="s">
        <v>64</v>
      </c>
      <c r="P155" t="s">
        <v>65</v>
      </c>
      <c r="Q155" t="s">
        <v>1052</v>
      </c>
      <c r="R155" t="s">
        <v>1053</v>
      </c>
      <c r="S155">
        <v>5</v>
      </c>
      <c r="T155" s="2">
        <v>0.3</v>
      </c>
      <c r="U155" t="s">
        <v>1054</v>
      </c>
    </row>
    <row r="156" spans="1:21">
      <c r="A156">
        <v>234</v>
      </c>
      <c r="B156" t="s">
        <v>1055</v>
      </c>
      <c r="C156" s="1">
        <v>44869</v>
      </c>
      <c r="D156" s="1">
        <v>44873</v>
      </c>
      <c r="E156" t="s">
        <v>36</v>
      </c>
      <c r="F156" t="s">
        <v>1056</v>
      </c>
      <c r="G156" t="s">
        <v>236</v>
      </c>
      <c r="H156" t="s">
        <v>60</v>
      </c>
      <c r="I156" t="s">
        <v>26</v>
      </c>
      <c r="J156" t="s">
        <v>301</v>
      </c>
      <c r="K156" t="s">
        <v>301</v>
      </c>
      <c r="L156">
        <v>61148</v>
      </c>
      <c r="M156" t="s">
        <v>73</v>
      </c>
      <c r="N156" t="s">
        <v>1057</v>
      </c>
      <c r="O156" t="s">
        <v>30</v>
      </c>
      <c r="P156" t="s">
        <v>31</v>
      </c>
      <c r="Q156" t="s">
        <v>1058</v>
      </c>
      <c r="R156" t="s">
        <v>1059</v>
      </c>
      <c r="S156">
        <v>7</v>
      </c>
      <c r="T156" s="2">
        <v>0.2</v>
      </c>
      <c r="U156" t="s">
        <v>1060</v>
      </c>
    </row>
    <row r="157" spans="1:21">
      <c r="A157">
        <v>240</v>
      </c>
      <c r="B157" t="s">
        <v>1061</v>
      </c>
      <c r="C157" s="1">
        <v>44869</v>
      </c>
      <c r="D157" s="1">
        <v>44873</v>
      </c>
      <c r="E157" t="s">
        <v>36</v>
      </c>
      <c r="F157" t="s">
        <v>1062</v>
      </c>
      <c r="G157" t="s">
        <v>1063</v>
      </c>
      <c r="H157" t="s">
        <v>60</v>
      </c>
      <c r="I157" t="s">
        <v>26</v>
      </c>
      <c r="J157" t="s">
        <v>72</v>
      </c>
      <c r="K157" t="s">
        <v>72</v>
      </c>
      <c r="L157">
        <v>58003</v>
      </c>
      <c r="M157" t="s">
        <v>73</v>
      </c>
      <c r="N157" t="s">
        <v>1064</v>
      </c>
      <c r="O157" t="s">
        <v>43</v>
      </c>
      <c r="P157" t="s">
        <v>83</v>
      </c>
      <c r="Q157" t="s">
        <v>1065</v>
      </c>
      <c r="R157" t="s">
        <v>1066</v>
      </c>
      <c r="S157">
        <v>3</v>
      </c>
      <c r="T157" s="2">
        <v>0.3</v>
      </c>
      <c r="U157" t="s">
        <v>1067</v>
      </c>
    </row>
    <row r="158" spans="1:21">
      <c r="A158">
        <v>565</v>
      </c>
      <c r="B158" t="s">
        <v>1068</v>
      </c>
      <c r="C158" s="1">
        <v>44870</v>
      </c>
      <c r="D158" s="1">
        <v>44872</v>
      </c>
      <c r="E158" t="s">
        <v>49</v>
      </c>
      <c r="F158" t="s">
        <v>1069</v>
      </c>
      <c r="G158" t="s">
        <v>478</v>
      </c>
      <c r="H158" t="s">
        <v>25</v>
      </c>
      <c r="I158" t="s">
        <v>26</v>
      </c>
      <c r="J158" t="s">
        <v>641</v>
      </c>
      <c r="K158" t="s">
        <v>641</v>
      </c>
      <c r="L158">
        <v>82723</v>
      </c>
      <c r="M158" t="s">
        <v>62</v>
      </c>
      <c r="N158" t="s">
        <v>1070</v>
      </c>
      <c r="O158" t="s">
        <v>64</v>
      </c>
      <c r="P158" t="s">
        <v>65</v>
      </c>
      <c r="Q158" t="s">
        <v>1071</v>
      </c>
      <c r="R158" t="s">
        <v>1072</v>
      </c>
      <c r="S158">
        <v>4</v>
      </c>
      <c r="T158" s="2">
        <v>0.05</v>
      </c>
      <c r="U158" t="s">
        <v>1073</v>
      </c>
    </row>
    <row r="159" spans="1:21">
      <c r="A159">
        <v>289</v>
      </c>
      <c r="B159" t="s">
        <v>1074</v>
      </c>
      <c r="C159" s="1">
        <v>44874</v>
      </c>
      <c r="D159" s="1">
        <v>44876</v>
      </c>
      <c r="E159" t="s">
        <v>49</v>
      </c>
      <c r="F159" t="s">
        <v>1075</v>
      </c>
      <c r="G159" t="s">
        <v>1076</v>
      </c>
      <c r="H159" t="s">
        <v>25</v>
      </c>
      <c r="I159" t="s">
        <v>26</v>
      </c>
      <c r="J159" t="s">
        <v>260</v>
      </c>
      <c r="K159" t="s">
        <v>260</v>
      </c>
      <c r="L159">
        <v>91720</v>
      </c>
      <c r="M159" t="s">
        <v>41</v>
      </c>
      <c r="N159" t="s">
        <v>1077</v>
      </c>
      <c r="O159" t="s">
        <v>43</v>
      </c>
      <c r="P159" t="s">
        <v>128</v>
      </c>
      <c r="Q159" t="s">
        <v>1078</v>
      </c>
      <c r="R159" t="s">
        <v>1079</v>
      </c>
      <c r="S159">
        <v>6</v>
      </c>
      <c r="T159" s="2">
        <v>0.1</v>
      </c>
      <c r="U159" t="s">
        <v>610</v>
      </c>
    </row>
    <row r="160" spans="1:21">
      <c r="A160">
        <v>377</v>
      </c>
      <c r="B160" t="s">
        <v>1080</v>
      </c>
      <c r="C160" s="1">
        <v>44874</v>
      </c>
      <c r="D160" s="1">
        <v>44878</v>
      </c>
      <c r="E160" t="s">
        <v>22</v>
      </c>
      <c r="F160" t="s">
        <v>1081</v>
      </c>
      <c r="G160" t="s">
        <v>485</v>
      </c>
      <c r="H160" t="s">
        <v>39</v>
      </c>
      <c r="I160" t="s">
        <v>26</v>
      </c>
      <c r="J160" t="s">
        <v>173</v>
      </c>
      <c r="K160" t="s">
        <v>173</v>
      </c>
      <c r="L160">
        <v>63803</v>
      </c>
      <c r="M160" t="s">
        <v>73</v>
      </c>
      <c r="N160" t="s">
        <v>800</v>
      </c>
      <c r="O160" t="s">
        <v>43</v>
      </c>
      <c r="P160" t="s">
        <v>83</v>
      </c>
      <c r="Q160" t="s">
        <v>1082</v>
      </c>
      <c r="R160" t="s">
        <v>1083</v>
      </c>
      <c r="S160">
        <v>3</v>
      </c>
      <c r="T160" s="2">
        <v>0.2</v>
      </c>
      <c r="U160" t="s">
        <v>1084</v>
      </c>
    </row>
    <row r="161" spans="1:21">
      <c r="A161">
        <v>429</v>
      </c>
      <c r="B161" t="s">
        <v>1085</v>
      </c>
      <c r="C161" s="1">
        <v>44875</v>
      </c>
      <c r="D161" s="1">
        <v>44876</v>
      </c>
      <c r="E161" t="s">
        <v>36</v>
      </c>
      <c r="F161" t="s">
        <v>1086</v>
      </c>
      <c r="G161" t="s">
        <v>1087</v>
      </c>
      <c r="H161" t="s">
        <v>25</v>
      </c>
      <c r="I161" t="s">
        <v>26</v>
      </c>
      <c r="J161" t="s">
        <v>229</v>
      </c>
      <c r="K161" t="s">
        <v>229</v>
      </c>
      <c r="L161">
        <v>89468</v>
      </c>
      <c r="M161" t="s">
        <v>73</v>
      </c>
      <c r="N161" t="s">
        <v>1088</v>
      </c>
      <c r="O161" t="s">
        <v>64</v>
      </c>
      <c r="P161" t="s">
        <v>405</v>
      </c>
      <c r="Q161" t="s">
        <v>947</v>
      </c>
      <c r="R161" t="s">
        <v>1089</v>
      </c>
      <c r="S161">
        <v>3</v>
      </c>
      <c r="T161" s="2">
        <v>0.2</v>
      </c>
      <c r="U161" t="s">
        <v>1090</v>
      </c>
    </row>
    <row r="162" spans="1:21">
      <c r="A162">
        <v>131</v>
      </c>
      <c r="B162" t="s">
        <v>1091</v>
      </c>
      <c r="C162" s="1">
        <v>44875</v>
      </c>
      <c r="D162" s="1">
        <v>44881</v>
      </c>
      <c r="E162" t="s">
        <v>36</v>
      </c>
      <c r="F162" t="s">
        <v>1092</v>
      </c>
      <c r="G162" t="s">
        <v>349</v>
      </c>
      <c r="H162" t="s">
        <v>25</v>
      </c>
      <c r="I162" t="s">
        <v>26</v>
      </c>
      <c r="J162" t="s">
        <v>72</v>
      </c>
      <c r="K162" t="s">
        <v>72</v>
      </c>
      <c r="L162">
        <v>98553</v>
      </c>
      <c r="M162" t="s">
        <v>73</v>
      </c>
      <c r="N162" t="s">
        <v>1093</v>
      </c>
      <c r="O162" t="s">
        <v>43</v>
      </c>
      <c r="P162" t="s">
        <v>128</v>
      </c>
      <c r="Q162" t="s">
        <v>1094</v>
      </c>
      <c r="R162" t="s">
        <v>1095</v>
      </c>
      <c r="S162">
        <v>1</v>
      </c>
      <c r="T162" s="2">
        <v>0</v>
      </c>
      <c r="U162" t="s">
        <v>1096</v>
      </c>
    </row>
    <row r="163" spans="1:21">
      <c r="A163">
        <v>47</v>
      </c>
      <c r="B163" t="s">
        <v>1097</v>
      </c>
      <c r="C163" s="1">
        <v>44879</v>
      </c>
      <c r="D163" s="1">
        <v>44883</v>
      </c>
      <c r="E163" t="s">
        <v>36</v>
      </c>
      <c r="F163" t="s">
        <v>1098</v>
      </c>
      <c r="G163" t="s">
        <v>103</v>
      </c>
      <c r="H163" t="s">
        <v>60</v>
      </c>
      <c r="I163" t="s">
        <v>26</v>
      </c>
      <c r="J163" t="s">
        <v>157</v>
      </c>
      <c r="K163" t="s">
        <v>157</v>
      </c>
      <c r="L163">
        <v>98861</v>
      </c>
      <c r="M163" t="s">
        <v>62</v>
      </c>
      <c r="N163" t="s">
        <v>690</v>
      </c>
      <c r="O163" t="s">
        <v>30</v>
      </c>
      <c r="P163" t="s">
        <v>120</v>
      </c>
      <c r="Q163" t="s">
        <v>1099</v>
      </c>
      <c r="R163" t="s">
        <v>1100</v>
      </c>
      <c r="S163">
        <v>6</v>
      </c>
      <c r="T163" s="2">
        <v>0</v>
      </c>
      <c r="U163" t="s">
        <v>1101</v>
      </c>
    </row>
    <row r="164" spans="1:21">
      <c r="A164">
        <v>520</v>
      </c>
      <c r="B164" t="s">
        <v>1102</v>
      </c>
      <c r="C164" s="1">
        <v>44880</v>
      </c>
      <c r="D164" s="1">
        <v>44884</v>
      </c>
      <c r="E164" t="s">
        <v>36</v>
      </c>
      <c r="F164" t="s">
        <v>1103</v>
      </c>
      <c r="G164" t="s">
        <v>683</v>
      </c>
      <c r="H164" t="s">
        <v>39</v>
      </c>
      <c r="I164" t="s">
        <v>26</v>
      </c>
      <c r="J164" t="s">
        <v>363</v>
      </c>
      <c r="K164" t="s">
        <v>363</v>
      </c>
      <c r="L164">
        <v>22150</v>
      </c>
      <c r="M164" t="s">
        <v>62</v>
      </c>
      <c r="N164" t="s">
        <v>1104</v>
      </c>
      <c r="O164" t="s">
        <v>43</v>
      </c>
      <c r="P164" t="s">
        <v>83</v>
      </c>
      <c r="Q164" t="s">
        <v>1105</v>
      </c>
      <c r="R164" t="s">
        <v>1106</v>
      </c>
      <c r="S164">
        <v>2</v>
      </c>
      <c r="T164" s="2">
        <v>0</v>
      </c>
      <c r="U164" t="s">
        <v>1107</v>
      </c>
    </row>
    <row r="165" spans="1:21">
      <c r="A165">
        <v>46</v>
      </c>
      <c r="B165" t="s">
        <v>1108</v>
      </c>
      <c r="C165" s="1">
        <v>44881</v>
      </c>
      <c r="D165" s="1">
        <v>44883</v>
      </c>
      <c r="E165" t="s">
        <v>49</v>
      </c>
      <c r="F165" t="s">
        <v>1109</v>
      </c>
      <c r="G165" t="s">
        <v>1110</v>
      </c>
      <c r="H165" t="s">
        <v>25</v>
      </c>
      <c r="I165" t="s">
        <v>26</v>
      </c>
      <c r="J165" t="s">
        <v>81</v>
      </c>
      <c r="K165" t="s">
        <v>81</v>
      </c>
      <c r="L165">
        <v>89767</v>
      </c>
      <c r="M165" t="s">
        <v>62</v>
      </c>
      <c r="N165" t="s">
        <v>1111</v>
      </c>
      <c r="O165" t="s">
        <v>30</v>
      </c>
      <c r="P165" t="s">
        <v>120</v>
      </c>
      <c r="Q165" t="s">
        <v>1112</v>
      </c>
      <c r="R165" t="s">
        <v>1113</v>
      </c>
      <c r="S165">
        <v>5</v>
      </c>
      <c r="T165" s="2">
        <v>0</v>
      </c>
      <c r="U165" t="s">
        <v>1114</v>
      </c>
    </row>
    <row r="166" spans="1:21">
      <c r="A166">
        <v>310</v>
      </c>
      <c r="B166" t="s">
        <v>1115</v>
      </c>
      <c r="C166" s="1">
        <v>44882</v>
      </c>
      <c r="D166" s="1">
        <v>44888</v>
      </c>
      <c r="E166" t="s">
        <v>22</v>
      </c>
      <c r="F166" t="s">
        <v>1116</v>
      </c>
      <c r="G166" t="s">
        <v>1117</v>
      </c>
      <c r="H166" t="s">
        <v>25</v>
      </c>
      <c r="I166" t="s">
        <v>26</v>
      </c>
      <c r="J166" t="s">
        <v>245</v>
      </c>
      <c r="K166" t="s">
        <v>245</v>
      </c>
      <c r="L166">
        <v>14011</v>
      </c>
      <c r="M166" t="s">
        <v>41</v>
      </c>
      <c r="N166" t="s">
        <v>330</v>
      </c>
      <c r="O166" t="s">
        <v>64</v>
      </c>
      <c r="P166" t="s">
        <v>105</v>
      </c>
      <c r="Q166" t="s">
        <v>1118</v>
      </c>
      <c r="R166" t="s">
        <v>1119</v>
      </c>
      <c r="S166">
        <v>3</v>
      </c>
      <c r="T166" s="2">
        <v>0</v>
      </c>
      <c r="U166" t="s">
        <v>1120</v>
      </c>
    </row>
    <row r="167" spans="1:21">
      <c r="A167">
        <v>432</v>
      </c>
      <c r="B167" t="s">
        <v>1121</v>
      </c>
      <c r="C167" s="1">
        <v>44882</v>
      </c>
      <c r="D167" s="1">
        <v>44884</v>
      </c>
      <c r="E167" t="s">
        <v>36</v>
      </c>
      <c r="F167" t="s">
        <v>1122</v>
      </c>
      <c r="G167" t="s">
        <v>1123</v>
      </c>
      <c r="H167" t="s">
        <v>39</v>
      </c>
      <c r="I167" t="s">
        <v>26</v>
      </c>
      <c r="J167" t="s">
        <v>245</v>
      </c>
      <c r="K167" t="s">
        <v>245</v>
      </c>
      <c r="L167">
        <v>95853</v>
      </c>
      <c r="M167" t="s">
        <v>41</v>
      </c>
      <c r="N167" t="s">
        <v>1124</v>
      </c>
      <c r="O167" t="s">
        <v>30</v>
      </c>
      <c r="P167" t="s">
        <v>31</v>
      </c>
      <c r="Q167" t="s">
        <v>386</v>
      </c>
      <c r="R167" t="s">
        <v>1125</v>
      </c>
      <c r="S167">
        <v>3</v>
      </c>
      <c r="T167" s="2">
        <v>0.05</v>
      </c>
      <c r="U167" t="s">
        <v>1126</v>
      </c>
    </row>
    <row r="168" spans="1:21">
      <c r="A168">
        <v>383</v>
      </c>
      <c r="B168" t="s">
        <v>1127</v>
      </c>
      <c r="C168" s="1">
        <v>44884</v>
      </c>
      <c r="D168" s="1">
        <v>44887</v>
      </c>
      <c r="E168" t="s">
        <v>36</v>
      </c>
      <c r="F168" t="s">
        <v>1128</v>
      </c>
      <c r="G168" t="s">
        <v>1012</v>
      </c>
      <c r="H168" t="s">
        <v>60</v>
      </c>
      <c r="I168" t="s">
        <v>26</v>
      </c>
      <c r="J168" t="s">
        <v>301</v>
      </c>
      <c r="K168" t="s">
        <v>301</v>
      </c>
      <c r="L168">
        <v>42463</v>
      </c>
      <c r="M168" t="s">
        <v>73</v>
      </c>
      <c r="N168" t="s">
        <v>1129</v>
      </c>
      <c r="O168" t="s">
        <v>30</v>
      </c>
      <c r="P168" t="s">
        <v>31</v>
      </c>
      <c r="Q168" t="s">
        <v>1130</v>
      </c>
      <c r="R168" t="s">
        <v>1131</v>
      </c>
      <c r="S168">
        <v>3</v>
      </c>
      <c r="T168" s="2">
        <v>0</v>
      </c>
      <c r="U168" t="s">
        <v>1132</v>
      </c>
    </row>
    <row r="169" spans="1:21">
      <c r="A169">
        <v>405</v>
      </c>
      <c r="B169" t="s">
        <v>1133</v>
      </c>
      <c r="C169" s="1">
        <v>44885</v>
      </c>
      <c r="D169" s="1">
        <v>44888</v>
      </c>
      <c r="E169" t="s">
        <v>36</v>
      </c>
      <c r="F169" t="s">
        <v>1134</v>
      </c>
      <c r="G169" t="s">
        <v>541</v>
      </c>
      <c r="H169" t="s">
        <v>60</v>
      </c>
      <c r="I169" t="s">
        <v>26</v>
      </c>
      <c r="J169" t="s">
        <v>245</v>
      </c>
      <c r="K169" t="s">
        <v>245</v>
      </c>
      <c r="L169">
        <v>33290</v>
      </c>
      <c r="M169" t="s">
        <v>41</v>
      </c>
      <c r="N169" t="s">
        <v>1135</v>
      </c>
      <c r="O169" t="s">
        <v>64</v>
      </c>
      <c r="P169" t="s">
        <v>405</v>
      </c>
      <c r="Q169" t="s">
        <v>1136</v>
      </c>
      <c r="R169" t="s">
        <v>1137</v>
      </c>
      <c r="S169">
        <v>2</v>
      </c>
      <c r="T169" s="2">
        <v>0.3</v>
      </c>
      <c r="U169" t="s">
        <v>1138</v>
      </c>
    </row>
    <row r="170" spans="1:21">
      <c r="A170">
        <v>297</v>
      </c>
      <c r="B170" t="s">
        <v>1139</v>
      </c>
      <c r="C170" s="1">
        <v>44885</v>
      </c>
      <c r="D170" s="1">
        <v>44889</v>
      </c>
      <c r="E170" t="s">
        <v>49</v>
      </c>
      <c r="F170" t="s">
        <v>1140</v>
      </c>
      <c r="G170" t="s">
        <v>451</v>
      </c>
      <c r="H170" t="s">
        <v>25</v>
      </c>
      <c r="I170" t="s">
        <v>26</v>
      </c>
      <c r="J170" t="s">
        <v>27</v>
      </c>
      <c r="K170" t="s">
        <v>27</v>
      </c>
      <c r="L170">
        <v>46561</v>
      </c>
      <c r="M170" t="s">
        <v>28</v>
      </c>
      <c r="N170" t="s">
        <v>1141</v>
      </c>
      <c r="O170" t="s">
        <v>64</v>
      </c>
      <c r="P170" t="s">
        <v>405</v>
      </c>
      <c r="Q170" t="s">
        <v>1142</v>
      </c>
      <c r="R170" t="s">
        <v>1143</v>
      </c>
      <c r="S170">
        <v>7</v>
      </c>
      <c r="T170" s="2">
        <v>0.1</v>
      </c>
      <c r="U170" t="s">
        <v>1144</v>
      </c>
    </row>
    <row r="171" spans="1:21">
      <c r="A171">
        <v>353</v>
      </c>
      <c r="B171" t="s">
        <v>1145</v>
      </c>
      <c r="C171" s="1">
        <v>44885</v>
      </c>
      <c r="D171" s="1">
        <v>44887</v>
      </c>
      <c r="E171" t="s">
        <v>36</v>
      </c>
      <c r="F171" t="s">
        <v>1146</v>
      </c>
      <c r="G171" t="s">
        <v>1147</v>
      </c>
      <c r="H171" t="s">
        <v>25</v>
      </c>
      <c r="I171" t="s">
        <v>26</v>
      </c>
      <c r="J171" t="s">
        <v>212</v>
      </c>
      <c r="K171" t="s">
        <v>212</v>
      </c>
      <c r="L171">
        <v>61024</v>
      </c>
      <c r="M171" t="s">
        <v>28</v>
      </c>
      <c r="N171" t="s">
        <v>1148</v>
      </c>
      <c r="O171" t="s">
        <v>43</v>
      </c>
      <c r="P171" t="s">
        <v>166</v>
      </c>
      <c r="Q171" t="s">
        <v>1149</v>
      </c>
      <c r="R171" t="s">
        <v>1150</v>
      </c>
      <c r="S171">
        <v>6</v>
      </c>
      <c r="T171" s="2">
        <v>0</v>
      </c>
      <c r="U171" t="s">
        <v>1151</v>
      </c>
    </row>
    <row r="172" spans="1:21">
      <c r="A172">
        <v>554</v>
      </c>
      <c r="B172" t="s">
        <v>1152</v>
      </c>
      <c r="C172" s="1">
        <v>44891</v>
      </c>
      <c r="D172" s="1">
        <v>44896</v>
      </c>
      <c r="E172" t="s">
        <v>36</v>
      </c>
      <c r="F172" t="s">
        <v>1153</v>
      </c>
      <c r="G172" t="s">
        <v>1154</v>
      </c>
      <c r="H172" t="s">
        <v>60</v>
      </c>
      <c r="I172" t="s">
        <v>26</v>
      </c>
      <c r="J172" t="s">
        <v>40</v>
      </c>
      <c r="K172" t="s">
        <v>40</v>
      </c>
      <c r="L172">
        <v>75169</v>
      </c>
      <c r="M172" t="s">
        <v>41</v>
      </c>
      <c r="N172" t="s">
        <v>1155</v>
      </c>
      <c r="O172" t="s">
        <v>43</v>
      </c>
      <c r="P172" t="s">
        <v>44</v>
      </c>
      <c r="Q172" t="s">
        <v>853</v>
      </c>
      <c r="R172" t="s">
        <v>1156</v>
      </c>
      <c r="S172">
        <v>5</v>
      </c>
      <c r="T172" s="2">
        <v>0.5</v>
      </c>
      <c r="U172" t="s">
        <v>1157</v>
      </c>
    </row>
    <row r="173" spans="1:21">
      <c r="A173">
        <v>352</v>
      </c>
      <c r="B173" t="s">
        <v>1158</v>
      </c>
      <c r="C173" s="1">
        <v>44893</v>
      </c>
      <c r="D173" s="1">
        <v>44896</v>
      </c>
      <c r="E173" t="s">
        <v>36</v>
      </c>
      <c r="F173" t="s">
        <v>1159</v>
      </c>
      <c r="G173" t="s">
        <v>700</v>
      </c>
      <c r="H173" t="s">
        <v>25</v>
      </c>
      <c r="I173" t="s">
        <v>26</v>
      </c>
      <c r="J173" t="s">
        <v>173</v>
      </c>
      <c r="K173" t="s">
        <v>173</v>
      </c>
      <c r="L173">
        <v>26535</v>
      </c>
      <c r="M173" t="s">
        <v>73</v>
      </c>
      <c r="N173" t="s">
        <v>1160</v>
      </c>
      <c r="O173" t="s">
        <v>43</v>
      </c>
      <c r="P173" t="s">
        <v>128</v>
      </c>
      <c r="Q173" t="s">
        <v>1161</v>
      </c>
      <c r="R173" t="s">
        <v>1162</v>
      </c>
      <c r="S173">
        <v>3</v>
      </c>
      <c r="T173" s="2">
        <v>0.1</v>
      </c>
      <c r="U173" t="s">
        <v>1163</v>
      </c>
    </row>
    <row r="174" spans="1:21">
      <c r="A174">
        <v>522</v>
      </c>
      <c r="B174" t="s">
        <v>1164</v>
      </c>
      <c r="C174" s="1">
        <v>44893</v>
      </c>
      <c r="D174" s="1">
        <v>44896</v>
      </c>
      <c r="E174" t="s">
        <v>36</v>
      </c>
      <c r="F174" t="s">
        <v>1165</v>
      </c>
      <c r="G174" t="s">
        <v>1166</v>
      </c>
      <c r="H174" t="s">
        <v>39</v>
      </c>
      <c r="I174" t="s">
        <v>26</v>
      </c>
      <c r="J174" t="s">
        <v>204</v>
      </c>
      <c r="K174" t="s">
        <v>204</v>
      </c>
      <c r="L174">
        <v>26661</v>
      </c>
      <c r="M174" t="s">
        <v>28</v>
      </c>
      <c r="N174" t="s">
        <v>1038</v>
      </c>
      <c r="O174" t="s">
        <v>64</v>
      </c>
      <c r="P174" t="s">
        <v>105</v>
      </c>
      <c r="Q174" t="s">
        <v>1167</v>
      </c>
      <c r="R174" t="s">
        <v>1168</v>
      </c>
      <c r="S174">
        <v>2</v>
      </c>
      <c r="T174" s="2">
        <v>0.1</v>
      </c>
      <c r="U174" t="s">
        <v>1169</v>
      </c>
    </row>
    <row r="175" spans="1:21">
      <c r="A175">
        <v>481</v>
      </c>
      <c r="B175" t="s">
        <v>1170</v>
      </c>
      <c r="C175" s="1">
        <v>44894</v>
      </c>
      <c r="D175" s="1">
        <v>44899</v>
      </c>
      <c r="E175" t="s">
        <v>36</v>
      </c>
      <c r="F175" t="s">
        <v>1171</v>
      </c>
      <c r="G175" t="s">
        <v>775</v>
      </c>
      <c r="H175" t="s">
        <v>39</v>
      </c>
      <c r="I175" t="s">
        <v>26</v>
      </c>
      <c r="J175" t="s">
        <v>212</v>
      </c>
      <c r="K175" t="s">
        <v>212</v>
      </c>
      <c r="L175">
        <v>13770</v>
      </c>
      <c r="M175" t="s">
        <v>28</v>
      </c>
      <c r="N175" t="s">
        <v>1172</v>
      </c>
      <c r="O175" t="s">
        <v>43</v>
      </c>
      <c r="P175" t="s">
        <v>189</v>
      </c>
      <c r="Q175" t="s">
        <v>603</v>
      </c>
      <c r="R175" t="s">
        <v>1173</v>
      </c>
      <c r="S175">
        <v>2</v>
      </c>
      <c r="T175" s="2">
        <v>0</v>
      </c>
      <c r="U175" t="s">
        <v>1174</v>
      </c>
    </row>
    <row r="176" spans="1:21">
      <c r="A176">
        <v>213</v>
      </c>
      <c r="B176" t="s">
        <v>1175</v>
      </c>
      <c r="C176" s="1">
        <v>44896</v>
      </c>
      <c r="D176" s="1">
        <v>44898</v>
      </c>
      <c r="E176" t="s">
        <v>36</v>
      </c>
      <c r="F176" t="s">
        <v>1176</v>
      </c>
      <c r="G176" t="s">
        <v>1018</v>
      </c>
      <c r="H176" t="s">
        <v>25</v>
      </c>
      <c r="I176" t="s">
        <v>26</v>
      </c>
      <c r="J176" t="s">
        <v>72</v>
      </c>
      <c r="K176" t="s">
        <v>72</v>
      </c>
      <c r="L176">
        <v>74925</v>
      </c>
      <c r="M176" t="s">
        <v>73</v>
      </c>
      <c r="N176" t="s">
        <v>1177</v>
      </c>
      <c r="O176" t="s">
        <v>43</v>
      </c>
      <c r="P176" t="s">
        <v>44</v>
      </c>
      <c r="Q176" t="s">
        <v>90</v>
      </c>
      <c r="R176" t="s">
        <v>1178</v>
      </c>
      <c r="S176">
        <v>4</v>
      </c>
      <c r="T176" s="2">
        <v>0.15</v>
      </c>
      <c r="U176" t="s">
        <v>1179</v>
      </c>
    </row>
    <row r="177" spans="1:21">
      <c r="A177">
        <v>41</v>
      </c>
      <c r="B177" t="s">
        <v>1180</v>
      </c>
      <c r="C177" s="1">
        <v>44898</v>
      </c>
      <c r="D177" s="1">
        <v>44900</v>
      </c>
      <c r="E177" t="s">
        <v>36</v>
      </c>
      <c r="F177" t="s">
        <v>1181</v>
      </c>
      <c r="G177" t="s">
        <v>541</v>
      </c>
      <c r="H177" t="s">
        <v>25</v>
      </c>
      <c r="I177" t="s">
        <v>26</v>
      </c>
      <c r="J177" t="s">
        <v>229</v>
      </c>
      <c r="K177" t="s">
        <v>229</v>
      </c>
      <c r="L177">
        <v>48638</v>
      </c>
      <c r="M177" t="s">
        <v>73</v>
      </c>
      <c r="N177" t="s">
        <v>1182</v>
      </c>
      <c r="O177" t="s">
        <v>30</v>
      </c>
      <c r="P177" t="s">
        <v>222</v>
      </c>
      <c r="Q177" t="s">
        <v>1183</v>
      </c>
      <c r="R177" t="s">
        <v>1184</v>
      </c>
      <c r="S177">
        <v>6</v>
      </c>
      <c r="T177" s="2">
        <v>0.15</v>
      </c>
      <c r="U177" t="s">
        <v>1185</v>
      </c>
    </row>
    <row r="178" spans="1:21">
      <c r="A178">
        <v>202</v>
      </c>
      <c r="B178" t="s">
        <v>1186</v>
      </c>
      <c r="C178" s="1">
        <v>44899</v>
      </c>
      <c r="D178" s="1">
        <v>44902</v>
      </c>
      <c r="E178" t="s">
        <v>36</v>
      </c>
      <c r="F178" t="s">
        <v>1187</v>
      </c>
      <c r="G178" t="s">
        <v>525</v>
      </c>
      <c r="H178" t="s">
        <v>25</v>
      </c>
      <c r="I178" t="s">
        <v>26</v>
      </c>
      <c r="J178" t="s">
        <v>237</v>
      </c>
      <c r="K178" t="s">
        <v>237</v>
      </c>
      <c r="L178">
        <v>53516</v>
      </c>
      <c r="M178" t="s">
        <v>41</v>
      </c>
      <c r="N178" t="s">
        <v>1188</v>
      </c>
      <c r="O178" t="s">
        <v>64</v>
      </c>
      <c r="P178" t="s">
        <v>136</v>
      </c>
      <c r="Q178" t="s">
        <v>1189</v>
      </c>
      <c r="R178" t="s">
        <v>1190</v>
      </c>
      <c r="S178">
        <v>3</v>
      </c>
      <c r="T178" s="2">
        <v>0.2</v>
      </c>
      <c r="U178" t="s">
        <v>1191</v>
      </c>
    </row>
    <row r="179" spans="1:21">
      <c r="A179">
        <v>5</v>
      </c>
      <c r="B179" t="s">
        <v>1192</v>
      </c>
      <c r="C179" s="1">
        <v>44899</v>
      </c>
      <c r="D179" s="1">
        <v>44902</v>
      </c>
      <c r="E179" t="s">
        <v>36</v>
      </c>
      <c r="F179" t="s">
        <v>1193</v>
      </c>
      <c r="G179" t="s">
        <v>1194</v>
      </c>
      <c r="H179" t="s">
        <v>39</v>
      </c>
      <c r="I179" t="s">
        <v>26</v>
      </c>
      <c r="J179" t="s">
        <v>212</v>
      </c>
      <c r="K179" t="s">
        <v>212</v>
      </c>
      <c r="L179">
        <v>62251</v>
      </c>
      <c r="M179" t="s">
        <v>28</v>
      </c>
      <c r="N179" t="s">
        <v>1195</v>
      </c>
      <c r="O179" t="s">
        <v>43</v>
      </c>
      <c r="P179" t="s">
        <v>83</v>
      </c>
      <c r="Q179" t="s">
        <v>1196</v>
      </c>
      <c r="R179" t="s">
        <v>1197</v>
      </c>
      <c r="S179">
        <v>1</v>
      </c>
      <c r="T179" s="2">
        <v>0.2</v>
      </c>
      <c r="U179" t="s">
        <v>1198</v>
      </c>
    </row>
    <row r="180" spans="1:21">
      <c r="A180">
        <v>139</v>
      </c>
      <c r="B180" t="s">
        <v>1199</v>
      </c>
      <c r="C180" s="1">
        <v>44899</v>
      </c>
      <c r="D180" s="1">
        <v>44903</v>
      </c>
      <c r="E180" t="s">
        <v>49</v>
      </c>
      <c r="F180" t="s">
        <v>1200</v>
      </c>
      <c r="G180" t="s">
        <v>1201</v>
      </c>
      <c r="H180" t="s">
        <v>39</v>
      </c>
      <c r="I180" t="s">
        <v>26</v>
      </c>
      <c r="J180" t="s">
        <v>72</v>
      </c>
      <c r="K180" t="s">
        <v>72</v>
      </c>
      <c r="L180">
        <v>77494</v>
      </c>
      <c r="M180" t="s">
        <v>73</v>
      </c>
      <c r="N180" t="s">
        <v>1202</v>
      </c>
      <c r="O180" t="s">
        <v>43</v>
      </c>
      <c r="P180" t="s">
        <v>189</v>
      </c>
      <c r="Q180" t="s">
        <v>440</v>
      </c>
      <c r="R180" t="s">
        <v>1203</v>
      </c>
      <c r="S180">
        <v>4</v>
      </c>
      <c r="T180" s="2">
        <v>0.2</v>
      </c>
      <c r="U180" t="s">
        <v>1204</v>
      </c>
    </row>
    <row r="181" spans="1:21">
      <c r="A181">
        <v>527</v>
      </c>
      <c r="B181" t="s">
        <v>1205</v>
      </c>
      <c r="C181" s="1">
        <v>44902</v>
      </c>
      <c r="D181" s="1">
        <v>44903</v>
      </c>
      <c r="E181" t="s">
        <v>36</v>
      </c>
      <c r="F181" t="s">
        <v>1206</v>
      </c>
      <c r="G181" t="s">
        <v>869</v>
      </c>
      <c r="H181" t="s">
        <v>25</v>
      </c>
      <c r="I181" t="s">
        <v>26</v>
      </c>
      <c r="J181" t="s">
        <v>245</v>
      </c>
      <c r="K181" t="s">
        <v>245</v>
      </c>
      <c r="L181">
        <v>58926</v>
      </c>
      <c r="M181" t="s">
        <v>41</v>
      </c>
      <c r="N181" t="s">
        <v>323</v>
      </c>
      <c r="O181" t="s">
        <v>30</v>
      </c>
      <c r="P181" t="s">
        <v>31</v>
      </c>
      <c r="Q181" t="s">
        <v>1207</v>
      </c>
      <c r="R181" t="s">
        <v>1208</v>
      </c>
      <c r="S181">
        <v>5</v>
      </c>
      <c r="T181" s="2">
        <v>0.1</v>
      </c>
      <c r="U181" t="s">
        <v>1209</v>
      </c>
    </row>
    <row r="182" spans="1:21">
      <c r="A182">
        <v>421</v>
      </c>
      <c r="B182" t="s">
        <v>1210</v>
      </c>
      <c r="C182" s="1">
        <v>44905</v>
      </c>
      <c r="D182" s="1">
        <v>44909</v>
      </c>
      <c r="E182" t="s">
        <v>36</v>
      </c>
      <c r="F182" t="s">
        <v>1211</v>
      </c>
      <c r="G182" t="s">
        <v>1212</v>
      </c>
      <c r="H182" t="s">
        <v>25</v>
      </c>
      <c r="I182" t="s">
        <v>26</v>
      </c>
      <c r="J182" t="s">
        <v>212</v>
      </c>
      <c r="K182" t="s">
        <v>212</v>
      </c>
      <c r="L182">
        <v>52406</v>
      </c>
      <c r="M182" t="s">
        <v>28</v>
      </c>
      <c r="N182" t="s">
        <v>1213</v>
      </c>
      <c r="O182" t="s">
        <v>30</v>
      </c>
      <c r="P182" t="s">
        <v>222</v>
      </c>
      <c r="Q182" t="s">
        <v>1214</v>
      </c>
      <c r="R182" t="s">
        <v>1215</v>
      </c>
      <c r="S182">
        <v>7</v>
      </c>
      <c r="T182" s="2">
        <v>0.5</v>
      </c>
      <c r="U182" t="s">
        <v>1216</v>
      </c>
    </row>
    <row r="183" spans="1:21">
      <c r="A183">
        <v>491</v>
      </c>
      <c r="B183" t="s">
        <v>1217</v>
      </c>
      <c r="C183" s="1">
        <v>44906</v>
      </c>
      <c r="D183" s="1">
        <v>44908</v>
      </c>
      <c r="E183" t="s">
        <v>36</v>
      </c>
      <c r="F183" t="s">
        <v>1218</v>
      </c>
      <c r="G183" t="s">
        <v>1219</v>
      </c>
      <c r="H183" t="s">
        <v>39</v>
      </c>
      <c r="I183" t="s">
        <v>26</v>
      </c>
      <c r="J183" t="s">
        <v>204</v>
      </c>
      <c r="K183" t="s">
        <v>204</v>
      </c>
      <c r="L183">
        <v>37703</v>
      </c>
      <c r="M183" t="s">
        <v>28</v>
      </c>
      <c r="N183" t="s">
        <v>1220</v>
      </c>
      <c r="O183" t="s">
        <v>43</v>
      </c>
      <c r="P183" t="s">
        <v>214</v>
      </c>
      <c r="Q183" t="s">
        <v>1221</v>
      </c>
      <c r="R183" t="s">
        <v>1222</v>
      </c>
      <c r="S183">
        <v>5</v>
      </c>
      <c r="T183" s="2">
        <v>0.3</v>
      </c>
      <c r="U183" t="s">
        <v>1223</v>
      </c>
    </row>
    <row r="184" spans="1:21">
      <c r="A184">
        <v>376</v>
      </c>
      <c r="B184" t="s">
        <v>1224</v>
      </c>
      <c r="C184" s="1">
        <v>44913</v>
      </c>
      <c r="D184" s="1">
        <v>44916</v>
      </c>
      <c r="E184" t="s">
        <v>49</v>
      </c>
      <c r="F184" t="s">
        <v>1225</v>
      </c>
      <c r="G184" t="s">
        <v>1226</v>
      </c>
      <c r="H184" t="s">
        <v>39</v>
      </c>
      <c r="I184" t="s">
        <v>26</v>
      </c>
      <c r="J184" t="s">
        <v>157</v>
      </c>
      <c r="K184" t="s">
        <v>157</v>
      </c>
      <c r="L184">
        <v>47260</v>
      </c>
      <c r="M184" t="s">
        <v>62</v>
      </c>
      <c r="N184" t="s">
        <v>1227</v>
      </c>
      <c r="O184" t="s">
        <v>43</v>
      </c>
      <c r="P184" t="s">
        <v>128</v>
      </c>
      <c r="Q184" t="s">
        <v>911</v>
      </c>
      <c r="R184" t="s">
        <v>1228</v>
      </c>
      <c r="S184">
        <v>2</v>
      </c>
      <c r="T184" s="2">
        <v>0.2</v>
      </c>
      <c r="U184" t="s">
        <v>1229</v>
      </c>
    </row>
    <row r="185" spans="1:21">
      <c r="A185">
        <v>448</v>
      </c>
      <c r="B185" t="s">
        <v>1230</v>
      </c>
      <c r="C185" s="1">
        <v>44913</v>
      </c>
      <c r="D185" s="1">
        <v>44915</v>
      </c>
      <c r="E185" t="s">
        <v>382</v>
      </c>
      <c r="F185" t="s">
        <v>1231</v>
      </c>
      <c r="G185" t="s">
        <v>851</v>
      </c>
      <c r="H185" t="s">
        <v>39</v>
      </c>
      <c r="I185" t="s">
        <v>26</v>
      </c>
      <c r="J185" t="s">
        <v>204</v>
      </c>
      <c r="K185" t="s">
        <v>204</v>
      </c>
      <c r="L185">
        <v>43725</v>
      </c>
      <c r="M185" t="s">
        <v>28</v>
      </c>
      <c r="N185" t="s">
        <v>1232</v>
      </c>
      <c r="O185" t="s">
        <v>30</v>
      </c>
      <c r="P185" t="s">
        <v>31</v>
      </c>
      <c r="Q185" t="s">
        <v>1233</v>
      </c>
      <c r="R185" t="s">
        <v>1234</v>
      </c>
      <c r="S185">
        <v>5</v>
      </c>
      <c r="T185" s="2">
        <v>0.3</v>
      </c>
      <c r="U185" t="s">
        <v>1235</v>
      </c>
    </row>
    <row r="186" spans="1:21">
      <c r="A186">
        <v>384</v>
      </c>
      <c r="B186" t="s">
        <v>1236</v>
      </c>
      <c r="C186" s="1">
        <v>44917</v>
      </c>
      <c r="D186" s="1">
        <v>44923</v>
      </c>
      <c r="E186" t="s">
        <v>36</v>
      </c>
      <c r="F186" t="s">
        <v>1237</v>
      </c>
      <c r="G186" t="s">
        <v>909</v>
      </c>
      <c r="H186" t="s">
        <v>39</v>
      </c>
      <c r="I186" t="s">
        <v>26</v>
      </c>
      <c r="J186" t="s">
        <v>81</v>
      </c>
      <c r="K186" t="s">
        <v>81</v>
      </c>
      <c r="L186">
        <v>69557</v>
      </c>
      <c r="M186" t="s">
        <v>62</v>
      </c>
      <c r="N186" t="s">
        <v>1238</v>
      </c>
      <c r="O186" t="s">
        <v>30</v>
      </c>
      <c r="P186" t="s">
        <v>222</v>
      </c>
      <c r="Q186" t="s">
        <v>818</v>
      </c>
      <c r="R186" t="s">
        <v>1239</v>
      </c>
      <c r="S186">
        <v>2</v>
      </c>
      <c r="T186" s="2">
        <v>0</v>
      </c>
      <c r="U186" t="s">
        <v>1240</v>
      </c>
    </row>
    <row r="187" spans="1:21">
      <c r="A187">
        <v>595</v>
      </c>
      <c r="B187" t="s">
        <v>1241</v>
      </c>
      <c r="C187" s="1">
        <v>44921</v>
      </c>
      <c r="D187" s="1">
        <v>44923</v>
      </c>
      <c r="E187" t="s">
        <v>49</v>
      </c>
      <c r="F187" t="s">
        <v>1242</v>
      </c>
      <c r="G187" t="s">
        <v>451</v>
      </c>
      <c r="H187" t="s">
        <v>39</v>
      </c>
      <c r="I187" t="s">
        <v>26</v>
      </c>
      <c r="J187" t="s">
        <v>52</v>
      </c>
      <c r="K187" t="s">
        <v>52</v>
      </c>
      <c r="L187">
        <v>24404</v>
      </c>
      <c r="M187" t="s">
        <v>41</v>
      </c>
      <c r="N187" t="s">
        <v>1243</v>
      </c>
      <c r="O187" t="s">
        <v>64</v>
      </c>
      <c r="P187" t="s">
        <v>405</v>
      </c>
      <c r="Q187" t="s">
        <v>1142</v>
      </c>
      <c r="R187" t="s">
        <v>1244</v>
      </c>
      <c r="S187">
        <v>3</v>
      </c>
      <c r="T187" s="2">
        <v>0.15</v>
      </c>
      <c r="U187" t="s">
        <v>1245</v>
      </c>
    </row>
    <row r="188" spans="1:21">
      <c r="A188">
        <v>178</v>
      </c>
      <c r="B188" t="s">
        <v>1246</v>
      </c>
      <c r="C188" s="1">
        <v>44922</v>
      </c>
      <c r="D188" s="1">
        <v>44925</v>
      </c>
      <c r="E188" t="s">
        <v>36</v>
      </c>
      <c r="F188" t="s">
        <v>1247</v>
      </c>
      <c r="G188" t="s">
        <v>939</v>
      </c>
      <c r="H188" t="s">
        <v>39</v>
      </c>
      <c r="I188" t="s">
        <v>26</v>
      </c>
      <c r="J188" t="s">
        <v>363</v>
      </c>
      <c r="K188" t="s">
        <v>363</v>
      </c>
      <c r="L188">
        <v>41433</v>
      </c>
      <c r="M188" t="s">
        <v>62</v>
      </c>
      <c r="N188" t="s">
        <v>1248</v>
      </c>
      <c r="O188" t="s">
        <v>43</v>
      </c>
      <c r="P188" t="s">
        <v>189</v>
      </c>
      <c r="Q188" t="s">
        <v>1249</v>
      </c>
      <c r="R188" t="s">
        <v>1250</v>
      </c>
      <c r="S188">
        <v>6</v>
      </c>
      <c r="T188" s="2">
        <v>0</v>
      </c>
      <c r="U188" t="s">
        <v>496</v>
      </c>
    </row>
    <row r="189" spans="1:21">
      <c r="A189">
        <v>147</v>
      </c>
      <c r="B189" t="s">
        <v>1251</v>
      </c>
      <c r="C189" s="1">
        <v>44923</v>
      </c>
      <c r="D189" s="1">
        <v>44929</v>
      </c>
      <c r="E189" t="s">
        <v>49</v>
      </c>
      <c r="F189" t="s">
        <v>1252</v>
      </c>
      <c r="G189" t="s">
        <v>1253</v>
      </c>
      <c r="H189" t="s">
        <v>25</v>
      </c>
      <c r="I189" t="s">
        <v>26</v>
      </c>
      <c r="J189" t="s">
        <v>150</v>
      </c>
      <c r="K189" t="s">
        <v>150</v>
      </c>
      <c r="L189">
        <v>41337</v>
      </c>
      <c r="M189" t="s">
        <v>73</v>
      </c>
      <c r="N189" t="s">
        <v>1254</v>
      </c>
      <c r="O189" t="s">
        <v>43</v>
      </c>
      <c r="P189" t="s">
        <v>166</v>
      </c>
      <c r="Q189" t="s">
        <v>839</v>
      </c>
      <c r="R189" t="s">
        <v>1255</v>
      </c>
      <c r="S189">
        <v>1</v>
      </c>
      <c r="T189" s="2">
        <v>0.15</v>
      </c>
      <c r="U189" t="s">
        <v>1256</v>
      </c>
    </row>
    <row r="190" spans="1:21">
      <c r="A190">
        <v>209</v>
      </c>
      <c r="B190" t="s">
        <v>1257</v>
      </c>
      <c r="C190" s="1">
        <v>44924</v>
      </c>
      <c r="D190" s="1">
        <v>44927</v>
      </c>
      <c r="E190" t="s">
        <v>49</v>
      </c>
      <c r="F190" t="s">
        <v>1258</v>
      </c>
      <c r="G190" t="s">
        <v>1259</v>
      </c>
      <c r="H190" t="s">
        <v>39</v>
      </c>
      <c r="I190" t="s">
        <v>26</v>
      </c>
      <c r="J190" t="s">
        <v>245</v>
      </c>
      <c r="K190" t="s">
        <v>245</v>
      </c>
      <c r="L190">
        <v>81088</v>
      </c>
      <c r="M190" t="s">
        <v>41</v>
      </c>
      <c r="N190" t="s">
        <v>776</v>
      </c>
      <c r="O190" t="s">
        <v>64</v>
      </c>
      <c r="P190" t="s">
        <v>65</v>
      </c>
      <c r="Q190" t="s">
        <v>1260</v>
      </c>
      <c r="R190" t="s">
        <v>1261</v>
      </c>
      <c r="S190">
        <v>2</v>
      </c>
      <c r="T190" s="2">
        <v>0.1</v>
      </c>
      <c r="U190" t="s">
        <v>1262</v>
      </c>
    </row>
    <row r="191" spans="1:21">
      <c r="A191">
        <v>475</v>
      </c>
      <c r="B191" t="s">
        <v>1263</v>
      </c>
      <c r="C191" s="1">
        <v>44925</v>
      </c>
      <c r="D191" s="1">
        <v>44927</v>
      </c>
      <c r="E191" t="s">
        <v>36</v>
      </c>
      <c r="F191" t="s">
        <v>1264</v>
      </c>
      <c r="G191" t="s">
        <v>1265</v>
      </c>
      <c r="H191" t="s">
        <v>25</v>
      </c>
      <c r="I191" t="s">
        <v>26</v>
      </c>
      <c r="J191" t="s">
        <v>641</v>
      </c>
      <c r="K191" t="s">
        <v>641</v>
      </c>
      <c r="L191">
        <v>45057</v>
      </c>
      <c r="M191" t="s">
        <v>62</v>
      </c>
      <c r="N191" t="s">
        <v>1266</v>
      </c>
      <c r="O191" t="s">
        <v>43</v>
      </c>
      <c r="P191" t="s">
        <v>214</v>
      </c>
      <c r="Q191" t="s">
        <v>1267</v>
      </c>
      <c r="R191" t="s">
        <v>1268</v>
      </c>
      <c r="S191">
        <v>6</v>
      </c>
      <c r="T191" s="2">
        <v>0.05</v>
      </c>
      <c r="U191" t="s">
        <v>1269</v>
      </c>
    </row>
    <row r="192" spans="1:21">
      <c r="A192">
        <v>332</v>
      </c>
      <c r="B192" t="s">
        <v>1270</v>
      </c>
      <c r="C192" s="1">
        <v>44927</v>
      </c>
      <c r="D192" s="1">
        <v>44930</v>
      </c>
      <c r="E192" t="s">
        <v>36</v>
      </c>
      <c r="F192" t="s">
        <v>1271</v>
      </c>
      <c r="G192" t="s">
        <v>458</v>
      </c>
      <c r="H192" t="s">
        <v>39</v>
      </c>
      <c r="I192" t="s">
        <v>26</v>
      </c>
      <c r="J192" t="s">
        <v>641</v>
      </c>
      <c r="K192" t="s">
        <v>641</v>
      </c>
      <c r="L192">
        <v>98559</v>
      </c>
      <c r="M192" t="s">
        <v>62</v>
      </c>
      <c r="N192" t="s">
        <v>788</v>
      </c>
      <c r="O192" t="s">
        <v>43</v>
      </c>
      <c r="P192" t="s">
        <v>83</v>
      </c>
      <c r="Q192" t="s">
        <v>487</v>
      </c>
      <c r="R192" t="s">
        <v>1272</v>
      </c>
      <c r="S192">
        <v>1</v>
      </c>
      <c r="T192" s="2">
        <v>0.05</v>
      </c>
      <c r="U192" t="s">
        <v>1273</v>
      </c>
    </row>
    <row r="193" spans="1:21">
      <c r="A193">
        <v>507</v>
      </c>
      <c r="B193" t="s">
        <v>1274</v>
      </c>
      <c r="C193" s="1">
        <v>44929</v>
      </c>
      <c r="D193" s="1">
        <v>44932</v>
      </c>
      <c r="E193" t="s">
        <v>36</v>
      </c>
      <c r="F193" t="s">
        <v>1275</v>
      </c>
      <c r="G193" t="s">
        <v>1276</v>
      </c>
      <c r="H193" t="s">
        <v>25</v>
      </c>
      <c r="I193" t="s">
        <v>26</v>
      </c>
      <c r="J193" t="s">
        <v>438</v>
      </c>
      <c r="K193" t="s">
        <v>438</v>
      </c>
      <c r="L193">
        <v>47743</v>
      </c>
      <c r="M193" t="s">
        <v>28</v>
      </c>
      <c r="N193" t="s">
        <v>1277</v>
      </c>
      <c r="O193" t="s">
        <v>43</v>
      </c>
      <c r="P193" t="s">
        <v>189</v>
      </c>
      <c r="Q193" t="s">
        <v>520</v>
      </c>
      <c r="R193" t="s">
        <v>1278</v>
      </c>
      <c r="S193">
        <v>3</v>
      </c>
      <c r="T193" s="2">
        <v>0.05</v>
      </c>
      <c r="U193" t="s">
        <v>1279</v>
      </c>
    </row>
    <row r="194" spans="1:21">
      <c r="A194">
        <v>572</v>
      </c>
      <c r="B194" t="s">
        <v>1280</v>
      </c>
      <c r="C194" s="1">
        <v>44932</v>
      </c>
      <c r="D194" s="1">
        <v>44935</v>
      </c>
      <c r="E194" t="s">
        <v>382</v>
      </c>
      <c r="F194" t="s">
        <v>1281</v>
      </c>
      <c r="G194" t="s">
        <v>1282</v>
      </c>
      <c r="H194" t="s">
        <v>39</v>
      </c>
      <c r="I194" t="s">
        <v>26</v>
      </c>
      <c r="J194" t="s">
        <v>81</v>
      </c>
      <c r="K194" t="s">
        <v>81</v>
      </c>
      <c r="L194">
        <v>95818</v>
      </c>
      <c r="M194" t="s">
        <v>62</v>
      </c>
      <c r="N194" t="s">
        <v>1283</v>
      </c>
      <c r="O194" t="s">
        <v>43</v>
      </c>
      <c r="P194" t="s">
        <v>83</v>
      </c>
      <c r="Q194" t="s">
        <v>1284</v>
      </c>
      <c r="R194" t="s">
        <v>1285</v>
      </c>
      <c r="S194">
        <v>6</v>
      </c>
      <c r="T194" s="2">
        <v>0.3</v>
      </c>
      <c r="U194" t="s">
        <v>1286</v>
      </c>
    </row>
    <row r="195" spans="1:21">
      <c r="A195">
        <v>194</v>
      </c>
      <c r="B195" t="s">
        <v>1287</v>
      </c>
      <c r="C195" s="1">
        <v>44936</v>
      </c>
      <c r="D195" s="1">
        <v>44939</v>
      </c>
      <c r="E195" t="s">
        <v>49</v>
      </c>
      <c r="F195" t="s">
        <v>1288</v>
      </c>
      <c r="G195" t="s">
        <v>794</v>
      </c>
      <c r="H195" t="s">
        <v>25</v>
      </c>
      <c r="I195" t="s">
        <v>26</v>
      </c>
      <c r="J195" t="s">
        <v>27</v>
      </c>
      <c r="K195" t="s">
        <v>27</v>
      </c>
      <c r="L195">
        <v>29552</v>
      </c>
      <c r="M195" t="s">
        <v>28</v>
      </c>
      <c r="N195" t="s">
        <v>1289</v>
      </c>
      <c r="O195" t="s">
        <v>64</v>
      </c>
      <c r="P195" t="s">
        <v>405</v>
      </c>
      <c r="Q195" t="s">
        <v>1290</v>
      </c>
      <c r="R195" t="s">
        <v>1291</v>
      </c>
      <c r="S195">
        <v>4</v>
      </c>
      <c r="T195" s="2">
        <v>0.1</v>
      </c>
      <c r="U195" t="s">
        <v>1292</v>
      </c>
    </row>
    <row r="196" spans="1:21">
      <c r="A196">
        <v>295</v>
      </c>
      <c r="B196" t="s">
        <v>1293</v>
      </c>
      <c r="C196" s="1">
        <v>44937</v>
      </c>
      <c r="D196" s="1">
        <v>44940</v>
      </c>
      <c r="E196" t="s">
        <v>36</v>
      </c>
      <c r="F196" t="s">
        <v>1294</v>
      </c>
      <c r="G196" t="s">
        <v>1282</v>
      </c>
      <c r="H196" t="s">
        <v>25</v>
      </c>
      <c r="I196" t="s">
        <v>26</v>
      </c>
      <c r="J196" t="s">
        <v>301</v>
      </c>
      <c r="K196" t="s">
        <v>301</v>
      </c>
      <c r="L196">
        <v>10798</v>
      </c>
      <c r="M196" t="s">
        <v>73</v>
      </c>
      <c r="N196" t="s">
        <v>1295</v>
      </c>
      <c r="O196" t="s">
        <v>30</v>
      </c>
      <c r="P196" t="s">
        <v>120</v>
      </c>
      <c r="Q196" t="s">
        <v>420</v>
      </c>
      <c r="R196" t="s">
        <v>1296</v>
      </c>
      <c r="S196">
        <v>3</v>
      </c>
      <c r="T196" s="2">
        <v>0.4</v>
      </c>
      <c r="U196" t="s">
        <v>1297</v>
      </c>
    </row>
    <row r="197" spans="1:21">
      <c r="A197">
        <v>452</v>
      </c>
      <c r="B197" t="s">
        <v>1298</v>
      </c>
      <c r="C197" s="1">
        <v>44937</v>
      </c>
      <c r="D197" s="1">
        <v>44940</v>
      </c>
      <c r="E197" t="s">
        <v>36</v>
      </c>
      <c r="F197" t="s">
        <v>1103</v>
      </c>
      <c r="G197" t="s">
        <v>71</v>
      </c>
      <c r="H197" t="s">
        <v>25</v>
      </c>
      <c r="I197" t="s">
        <v>26</v>
      </c>
      <c r="J197" t="s">
        <v>260</v>
      </c>
      <c r="K197" t="s">
        <v>260</v>
      </c>
      <c r="L197">
        <v>17219</v>
      </c>
      <c r="M197" t="s">
        <v>41</v>
      </c>
      <c r="N197" t="s">
        <v>1299</v>
      </c>
      <c r="O197" t="s">
        <v>64</v>
      </c>
      <c r="P197" t="s">
        <v>405</v>
      </c>
      <c r="Q197" t="s">
        <v>1300</v>
      </c>
      <c r="R197" t="s">
        <v>1301</v>
      </c>
      <c r="S197">
        <v>1</v>
      </c>
      <c r="T197" s="2">
        <v>0.4</v>
      </c>
      <c r="U197" t="s">
        <v>1302</v>
      </c>
    </row>
    <row r="198" spans="1:21">
      <c r="A198">
        <v>327</v>
      </c>
      <c r="B198" t="s">
        <v>1303</v>
      </c>
      <c r="C198" s="1">
        <v>44939</v>
      </c>
      <c r="D198" s="1">
        <v>44940</v>
      </c>
      <c r="E198" t="s">
        <v>49</v>
      </c>
      <c r="F198" t="s">
        <v>1304</v>
      </c>
      <c r="G198" t="s">
        <v>203</v>
      </c>
      <c r="H198" t="s">
        <v>25</v>
      </c>
      <c r="I198" t="s">
        <v>26</v>
      </c>
      <c r="J198" t="s">
        <v>237</v>
      </c>
      <c r="K198" t="s">
        <v>237</v>
      </c>
      <c r="L198">
        <v>10755</v>
      </c>
      <c r="M198" t="s">
        <v>41</v>
      </c>
      <c r="N198" t="s">
        <v>1305</v>
      </c>
      <c r="O198" t="s">
        <v>64</v>
      </c>
      <c r="P198" t="s">
        <v>105</v>
      </c>
      <c r="Q198" t="s">
        <v>1306</v>
      </c>
      <c r="R198" t="s">
        <v>1307</v>
      </c>
      <c r="S198">
        <v>5</v>
      </c>
      <c r="T198" s="2">
        <v>0.1</v>
      </c>
      <c r="U198" t="s">
        <v>1308</v>
      </c>
    </row>
    <row r="199" spans="1:21">
      <c r="A199">
        <v>402</v>
      </c>
      <c r="B199" t="s">
        <v>1309</v>
      </c>
      <c r="C199" s="1">
        <v>44940</v>
      </c>
      <c r="D199" s="1">
        <v>44943</v>
      </c>
      <c r="E199" t="s">
        <v>36</v>
      </c>
      <c r="F199" t="s">
        <v>1310</v>
      </c>
      <c r="G199" t="s">
        <v>308</v>
      </c>
      <c r="H199" t="s">
        <v>25</v>
      </c>
      <c r="I199" t="s">
        <v>26</v>
      </c>
      <c r="J199" t="s">
        <v>641</v>
      </c>
      <c r="K199" t="s">
        <v>641</v>
      </c>
      <c r="L199">
        <v>64712</v>
      </c>
      <c r="M199" t="s">
        <v>62</v>
      </c>
      <c r="N199" t="s">
        <v>1283</v>
      </c>
      <c r="O199" t="s">
        <v>64</v>
      </c>
      <c r="P199" t="s">
        <v>105</v>
      </c>
      <c r="Q199" t="s">
        <v>954</v>
      </c>
      <c r="R199" t="s">
        <v>1311</v>
      </c>
      <c r="S199">
        <v>5</v>
      </c>
      <c r="T199" s="2">
        <v>0</v>
      </c>
      <c r="U199" t="s">
        <v>1312</v>
      </c>
    </row>
    <row r="200" spans="1:21">
      <c r="A200">
        <v>548</v>
      </c>
      <c r="B200" t="s">
        <v>1313</v>
      </c>
      <c r="C200" s="1">
        <v>44942</v>
      </c>
      <c r="D200" s="1">
        <v>44948</v>
      </c>
      <c r="E200" t="s">
        <v>36</v>
      </c>
      <c r="F200" t="s">
        <v>1314</v>
      </c>
      <c r="G200" t="s">
        <v>172</v>
      </c>
      <c r="H200" t="s">
        <v>60</v>
      </c>
      <c r="I200" t="s">
        <v>26</v>
      </c>
      <c r="J200" t="s">
        <v>363</v>
      </c>
      <c r="K200" t="s">
        <v>363</v>
      </c>
      <c r="L200">
        <v>56104</v>
      </c>
      <c r="M200" t="s">
        <v>62</v>
      </c>
      <c r="N200" t="s">
        <v>701</v>
      </c>
      <c r="O200" t="s">
        <v>30</v>
      </c>
      <c r="P200" t="s">
        <v>222</v>
      </c>
      <c r="Q200" t="s">
        <v>1315</v>
      </c>
      <c r="R200" t="s">
        <v>1316</v>
      </c>
      <c r="S200">
        <v>1</v>
      </c>
      <c r="T200" s="2">
        <v>0.15</v>
      </c>
      <c r="U200" t="s">
        <v>1317</v>
      </c>
    </row>
    <row r="201" spans="1:21">
      <c r="A201">
        <v>250</v>
      </c>
      <c r="B201" t="s">
        <v>1318</v>
      </c>
      <c r="C201" s="1">
        <v>44942</v>
      </c>
      <c r="D201" s="1">
        <v>44945</v>
      </c>
      <c r="E201" t="s">
        <v>36</v>
      </c>
      <c r="F201" t="s">
        <v>1319</v>
      </c>
      <c r="G201" t="s">
        <v>844</v>
      </c>
      <c r="H201" t="s">
        <v>25</v>
      </c>
      <c r="I201" t="s">
        <v>26</v>
      </c>
      <c r="J201" t="s">
        <v>245</v>
      </c>
      <c r="K201" t="s">
        <v>245</v>
      </c>
      <c r="L201">
        <v>72653</v>
      </c>
      <c r="M201" t="s">
        <v>41</v>
      </c>
      <c r="N201" t="s">
        <v>1320</v>
      </c>
      <c r="O201" t="s">
        <v>64</v>
      </c>
      <c r="P201" t="s">
        <v>405</v>
      </c>
      <c r="Q201" t="s">
        <v>1321</v>
      </c>
      <c r="R201" t="s">
        <v>1322</v>
      </c>
      <c r="S201">
        <v>5</v>
      </c>
      <c r="T201" s="2">
        <v>0</v>
      </c>
      <c r="U201" t="s">
        <v>1323</v>
      </c>
    </row>
    <row r="202" spans="1:21">
      <c r="A202">
        <v>536</v>
      </c>
      <c r="B202" t="s">
        <v>1324</v>
      </c>
      <c r="C202" s="1">
        <v>44943</v>
      </c>
      <c r="D202" s="1">
        <v>44946</v>
      </c>
      <c r="E202" t="s">
        <v>49</v>
      </c>
      <c r="F202" t="s">
        <v>1325</v>
      </c>
      <c r="G202" t="s">
        <v>1076</v>
      </c>
      <c r="H202" t="s">
        <v>25</v>
      </c>
      <c r="I202" t="s">
        <v>26</v>
      </c>
      <c r="J202" t="s">
        <v>301</v>
      </c>
      <c r="K202" t="s">
        <v>301</v>
      </c>
      <c r="L202">
        <v>61369</v>
      </c>
      <c r="M202" t="s">
        <v>73</v>
      </c>
      <c r="N202" t="s">
        <v>1326</v>
      </c>
      <c r="O202" t="s">
        <v>43</v>
      </c>
      <c r="P202" t="s">
        <v>189</v>
      </c>
      <c r="Q202" t="s">
        <v>1327</v>
      </c>
      <c r="R202" t="s">
        <v>1328</v>
      </c>
      <c r="S202">
        <v>6</v>
      </c>
      <c r="T202" s="2">
        <v>0.2</v>
      </c>
      <c r="U202" t="s">
        <v>1329</v>
      </c>
    </row>
    <row r="203" spans="1:21">
      <c r="A203">
        <v>148</v>
      </c>
      <c r="B203" t="s">
        <v>1330</v>
      </c>
      <c r="C203" s="1">
        <v>44943</v>
      </c>
      <c r="D203" s="1">
        <v>44945</v>
      </c>
      <c r="E203" t="s">
        <v>36</v>
      </c>
      <c r="F203" t="s">
        <v>1331</v>
      </c>
      <c r="G203" t="s">
        <v>775</v>
      </c>
      <c r="H203" t="s">
        <v>39</v>
      </c>
      <c r="I203" t="s">
        <v>26</v>
      </c>
      <c r="J203" t="s">
        <v>96</v>
      </c>
      <c r="K203" t="s">
        <v>96</v>
      </c>
      <c r="L203">
        <v>69518</v>
      </c>
      <c r="M203" t="s">
        <v>28</v>
      </c>
      <c r="N203" t="s">
        <v>1332</v>
      </c>
      <c r="O203" t="s">
        <v>30</v>
      </c>
      <c r="P203" t="s">
        <v>31</v>
      </c>
      <c r="Q203" t="s">
        <v>582</v>
      </c>
      <c r="R203" t="s">
        <v>1333</v>
      </c>
      <c r="S203">
        <v>1</v>
      </c>
      <c r="T203" s="2">
        <v>0</v>
      </c>
      <c r="U203" t="s">
        <v>1334</v>
      </c>
    </row>
    <row r="204" spans="1:21">
      <c r="A204">
        <v>444</v>
      </c>
      <c r="B204" t="s">
        <v>1335</v>
      </c>
      <c r="C204" s="1">
        <v>44943</v>
      </c>
      <c r="D204" s="1">
        <v>44949</v>
      </c>
      <c r="E204" t="s">
        <v>36</v>
      </c>
      <c r="F204" t="s">
        <v>1336</v>
      </c>
      <c r="G204" t="s">
        <v>134</v>
      </c>
      <c r="H204" t="s">
        <v>25</v>
      </c>
      <c r="I204" t="s">
        <v>26</v>
      </c>
      <c r="J204" t="s">
        <v>245</v>
      </c>
      <c r="K204" t="s">
        <v>245</v>
      </c>
      <c r="L204">
        <v>21294</v>
      </c>
      <c r="M204" t="s">
        <v>41</v>
      </c>
      <c r="N204" t="s">
        <v>1337</v>
      </c>
      <c r="O204" t="s">
        <v>64</v>
      </c>
      <c r="P204" t="s">
        <v>105</v>
      </c>
      <c r="Q204" t="s">
        <v>702</v>
      </c>
      <c r="R204" t="s">
        <v>1338</v>
      </c>
      <c r="S204">
        <v>4</v>
      </c>
      <c r="T204" s="2">
        <v>0.1</v>
      </c>
      <c r="U204" t="s">
        <v>1339</v>
      </c>
    </row>
    <row r="205" spans="1:21">
      <c r="A205">
        <v>188</v>
      </c>
      <c r="B205" t="s">
        <v>1340</v>
      </c>
      <c r="C205" s="1">
        <v>44945</v>
      </c>
      <c r="D205" s="1">
        <v>44946</v>
      </c>
      <c r="E205" t="s">
        <v>49</v>
      </c>
      <c r="F205" t="s">
        <v>1341</v>
      </c>
      <c r="G205" t="s">
        <v>187</v>
      </c>
      <c r="H205" t="s">
        <v>25</v>
      </c>
      <c r="I205" t="s">
        <v>26</v>
      </c>
      <c r="J205" t="s">
        <v>52</v>
      </c>
      <c r="K205" t="s">
        <v>52</v>
      </c>
      <c r="L205">
        <v>96511</v>
      </c>
      <c r="M205" t="s">
        <v>41</v>
      </c>
      <c r="N205" t="s">
        <v>1342</v>
      </c>
      <c r="O205" t="s">
        <v>30</v>
      </c>
      <c r="P205" t="s">
        <v>120</v>
      </c>
      <c r="Q205" t="s">
        <v>357</v>
      </c>
      <c r="R205" t="s">
        <v>1343</v>
      </c>
      <c r="S205">
        <v>7</v>
      </c>
      <c r="T205" s="2">
        <v>0.2</v>
      </c>
      <c r="U205" t="s">
        <v>1344</v>
      </c>
    </row>
    <row r="206" spans="1:21">
      <c r="A206">
        <v>389</v>
      </c>
      <c r="B206" t="s">
        <v>1345</v>
      </c>
      <c r="C206" s="1">
        <v>44948</v>
      </c>
      <c r="D206" s="1">
        <v>44952</v>
      </c>
      <c r="E206" t="s">
        <v>36</v>
      </c>
      <c r="F206" t="s">
        <v>1346</v>
      </c>
      <c r="G206" t="s">
        <v>126</v>
      </c>
      <c r="H206" t="s">
        <v>60</v>
      </c>
      <c r="I206" t="s">
        <v>26</v>
      </c>
      <c r="J206" t="s">
        <v>27</v>
      </c>
      <c r="K206" t="s">
        <v>27</v>
      </c>
      <c r="L206">
        <v>98534</v>
      </c>
      <c r="M206" t="s">
        <v>28</v>
      </c>
      <c r="N206" t="s">
        <v>1347</v>
      </c>
      <c r="O206" t="s">
        <v>43</v>
      </c>
      <c r="P206" t="s">
        <v>189</v>
      </c>
      <c r="Q206" t="s">
        <v>1348</v>
      </c>
      <c r="R206" t="s">
        <v>1349</v>
      </c>
      <c r="S206">
        <v>2</v>
      </c>
      <c r="T206" s="2">
        <v>0.1</v>
      </c>
      <c r="U206" t="s">
        <v>1350</v>
      </c>
    </row>
    <row r="207" spans="1:21">
      <c r="A207">
        <v>302</v>
      </c>
      <c r="B207" t="s">
        <v>1351</v>
      </c>
      <c r="C207" s="1">
        <v>44948</v>
      </c>
      <c r="D207" s="1">
        <v>44952</v>
      </c>
      <c r="E207" t="s">
        <v>49</v>
      </c>
      <c r="F207" t="s">
        <v>1352</v>
      </c>
      <c r="G207" t="s">
        <v>384</v>
      </c>
      <c r="H207" t="s">
        <v>60</v>
      </c>
      <c r="I207" t="s">
        <v>26</v>
      </c>
      <c r="J207" t="s">
        <v>301</v>
      </c>
      <c r="K207" t="s">
        <v>301</v>
      </c>
      <c r="L207">
        <v>44758</v>
      </c>
      <c r="M207" t="s">
        <v>73</v>
      </c>
      <c r="N207" t="s">
        <v>1353</v>
      </c>
      <c r="O207" t="s">
        <v>30</v>
      </c>
      <c r="P207" t="s">
        <v>120</v>
      </c>
      <c r="Q207" t="s">
        <v>1112</v>
      </c>
      <c r="R207" t="s">
        <v>1354</v>
      </c>
      <c r="S207">
        <v>4</v>
      </c>
      <c r="T207" s="2">
        <v>0.15</v>
      </c>
      <c r="U207" t="s">
        <v>1355</v>
      </c>
    </row>
    <row r="208" spans="1:21">
      <c r="A208">
        <v>136</v>
      </c>
      <c r="B208" t="s">
        <v>1356</v>
      </c>
      <c r="C208" s="1">
        <v>44948</v>
      </c>
      <c r="D208" s="1">
        <v>44951</v>
      </c>
      <c r="E208" t="s">
        <v>49</v>
      </c>
      <c r="F208" t="s">
        <v>1357</v>
      </c>
      <c r="G208" t="s">
        <v>1358</v>
      </c>
      <c r="H208" t="s">
        <v>25</v>
      </c>
      <c r="I208" t="s">
        <v>26</v>
      </c>
      <c r="J208" t="s">
        <v>237</v>
      </c>
      <c r="K208" t="s">
        <v>237</v>
      </c>
      <c r="L208">
        <v>41852</v>
      </c>
      <c r="M208" t="s">
        <v>41</v>
      </c>
      <c r="N208" t="s">
        <v>1359</v>
      </c>
      <c r="O208" t="s">
        <v>30</v>
      </c>
      <c r="P208" t="s">
        <v>120</v>
      </c>
      <c r="Q208" t="s">
        <v>1099</v>
      </c>
      <c r="R208" t="s">
        <v>1360</v>
      </c>
      <c r="S208">
        <v>3</v>
      </c>
      <c r="T208" s="2">
        <v>0.1</v>
      </c>
      <c r="U208" t="s">
        <v>169</v>
      </c>
    </row>
    <row r="209" spans="1:21">
      <c r="A209">
        <v>218</v>
      </c>
      <c r="B209" t="s">
        <v>1361</v>
      </c>
      <c r="C209" s="1">
        <v>44949</v>
      </c>
      <c r="D209" s="1">
        <v>44952</v>
      </c>
      <c r="E209" t="s">
        <v>49</v>
      </c>
      <c r="F209" t="s">
        <v>1362</v>
      </c>
      <c r="G209" t="s">
        <v>816</v>
      </c>
      <c r="H209" t="s">
        <v>39</v>
      </c>
      <c r="I209" t="s">
        <v>26</v>
      </c>
      <c r="J209" t="s">
        <v>52</v>
      </c>
      <c r="K209" t="s">
        <v>52</v>
      </c>
      <c r="L209">
        <v>29259</v>
      </c>
      <c r="M209" t="s">
        <v>41</v>
      </c>
      <c r="N209" t="s">
        <v>1363</v>
      </c>
      <c r="O209" t="s">
        <v>30</v>
      </c>
      <c r="P209" t="s">
        <v>120</v>
      </c>
      <c r="Q209" t="s">
        <v>1364</v>
      </c>
      <c r="R209" t="s">
        <v>1365</v>
      </c>
      <c r="S209">
        <v>1</v>
      </c>
      <c r="T209" s="2">
        <v>0.15</v>
      </c>
      <c r="U209" t="s">
        <v>1366</v>
      </c>
    </row>
    <row r="210" spans="1:21">
      <c r="A210">
        <v>571</v>
      </c>
      <c r="B210" t="s">
        <v>1367</v>
      </c>
      <c r="C210" s="1">
        <v>44951</v>
      </c>
      <c r="D210" s="1">
        <v>44955</v>
      </c>
      <c r="E210" t="s">
        <v>36</v>
      </c>
      <c r="F210" t="s">
        <v>1368</v>
      </c>
      <c r="G210" t="s">
        <v>187</v>
      </c>
      <c r="H210" t="s">
        <v>25</v>
      </c>
      <c r="I210" t="s">
        <v>26</v>
      </c>
      <c r="J210" t="s">
        <v>40</v>
      </c>
      <c r="K210" t="s">
        <v>40</v>
      </c>
      <c r="L210">
        <v>28170</v>
      </c>
      <c r="M210" t="s">
        <v>41</v>
      </c>
      <c r="N210" t="s">
        <v>205</v>
      </c>
      <c r="O210" t="s">
        <v>43</v>
      </c>
      <c r="P210" t="s">
        <v>83</v>
      </c>
      <c r="Q210" t="s">
        <v>1369</v>
      </c>
      <c r="R210" t="s">
        <v>1370</v>
      </c>
      <c r="S210">
        <v>1</v>
      </c>
      <c r="T210" s="2">
        <v>0.15</v>
      </c>
      <c r="U210" t="s">
        <v>1371</v>
      </c>
    </row>
    <row r="211" spans="1:21">
      <c r="A211">
        <v>547</v>
      </c>
      <c r="B211" t="s">
        <v>1372</v>
      </c>
      <c r="C211" s="1">
        <v>44952</v>
      </c>
      <c r="D211" s="1">
        <v>44953</v>
      </c>
      <c r="E211" t="s">
        <v>49</v>
      </c>
      <c r="F211" t="s">
        <v>1373</v>
      </c>
      <c r="G211" t="s">
        <v>38</v>
      </c>
      <c r="H211" t="s">
        <v>60</v>
      </c>
      <c r="I211" t="s">
        <v>26</v>
      </c>
      <c r="J211" t="s">
        <v>260</v>
      </c>
      <c r="K211" t="s">
        <v>260</v>
      </c>
      <c r="L211">
        <v>60345</v>
      </c>
      <c r="M211" t="s">
        <v>41</v>
      </c>
      <c r="N211" t="s">
        <v>1374</v>
      </c>
      <c r="O211" t="s">
        <v>43</v>
      </c>
      <c r="P211" t="s">
        <v>189</v>
      </c>
      <c r="Q211" t="s">
        <v>1375</v>
      </c>
      <c r="R211" t="s">
        <v>1376</v>
      </c>
      <c r="S211">
        <v>5</v>
      </c>
      <c r="T211" s="2">
        <v>0.4</v>
      </c>
      <c r="U211" t="s">
        <v>1377</v>
      </c>
    </row>
    <row r="212" spans="1:21">
      <c r="A212">
        <v>356</v>
      </c>
      <c r="B212" t="s">
        <v>1378</v>
      </c>
      <c r="C212" s="1">
        <v>44957</v>
      </c>
      <c r="D212" s="1">
        <v>44959</v>
      </c>
      <c r="E212" t="s">
        <v>36</v>
      </c>
      <c r="F212" t="s">
        <v>1379</v>
      </c>
      <c r="G212" t="s">
        <v>95</v>
      </c>
      <c r="H212" t="s">
        <v>39</v>
      </c>
      <c r="I212" t="s">
        <v>26</v>
      </c>
      <c r="J212" t="s">
        <v>229</v>
      </c>
      <c r="K212" t="s">
        <v>229</v>
      </c>
      <c r="L212">
        <v>95781</v>
      </c>
      <c r="M212" t="s">
        <v>73</v>
      </c>
      <c r="N212" t="s">
        <v>1380</v>
      </c>
      <c r="O212" t="s">
        <v>43</v>
      </c>
      <c r="P212" t="s">
        <v>189</v>
      </c>
      <c r="Q212" t="s">
        <v>1381</v>
      </c>
      <c r="R212" t="s">
        <v>1382</v>
      </c>
      <c r="S212">
        <v>4</v>
      </c>
      <c r="T212" s="2">
        <v>0</v>
      </c>
      <c r="U212" t="s">
        <v>1383</v>
      </c>
    </row>
    <row r="213" spans="1:21">
      <c r="A213">
        <v>27</v>
      </c>
      <c r="B213" t="s">
        <v>1384</v>
      </c>
      <c r="C213" s="1">
        <v>44957</v>
      </c>
      <c r="D213" s="1">
        <v>44963</v>
      </c>
      <c r="E213" t="s">
        <v>49</v>
      </c>
      <c r="F213" t="s">
        <v>1385</v>
      </c>
      <c r="G213" t="s">
        <v>322</v>
      </c>
      <c r="H213" t="s">
        <v>60</v>
      </c>
      <c r="I213" t="s">
        <v>26</v>
      </c>
      <c r="J213" t="s">
        <v>40</v>
      </c>
      <c r="K213" t="s">
        <v>40</v>
      </c>
      <c r="L213">
        <v>70566</v>
      </c>
      <c r="M213" t="s">
        <v>41</v>
      </c>
      <c r="N213" t="s">
        <v>1386</v>
      </c>
      <c r="O213" t="s">
        <v>30</v>
      </c>
      <c r="P213" t="s">
        <v>222</v>
      </c>
      <c r="Q213" t="s">
        <v>223</v>
      </c>
      <c r="R213" t="s">
        <v>1387</v>
      </c>
      <c r="S213">
        <v>7</v>
      </c>
      <c r="T213" s="2">
        <v>0</v>
      </c>
      <c r="U213" t="s">
        <v>1388</v>
      </c>
    </row>
    <row r="214" spans="1:21">
      <c r="A214">
        <v>510</v>
      </c>
      <c r="B214" t="s">
        <v>1389</v>
      </c>
      <c r="C214" s="1">
        <v>44957</v>
      </c>
      <c r="D214" s="1">
        <v>44963</v>
      </c>
      <c r="E214" t="s">
        <v>49</v>
      </c>
      <c r="F214" t="s">
        <v>1390</v>
      </c>
      <c r="G214" t="s">
        <v>1076</v>
      </c>
      <c r="H214" t="s">
        <v>25</v>
      </c>
      <c r="I214" t="s">
        <v>26</v>
      </c>
      <c r="J214" t="s">
        <v>81</v>
      </c>
      <c r="K214" t="s">
        <v>81</v>
      </c>
      <c r="L214">
        <v>35595</v>
      </c>
      <c r="M214" t="s">
        <v>62</v>
      </c>
      <c r="N214" t="s">
        <v>1391</v>
      </c>
      <c r="O214" t="s">
        <v>30</v>
      </c>
      <c r="P214" t="s">
        <v>222</v>
      </c>
      <c r="Q214" t="s">
        <v>434</v>
      </c>
      <c r="R214" t="s">
        <v>1392</v>
      </c>
      <c r="S214">
        <v>6</v>
      </c>
      <c r="T214" s="2">
        <v>0.2</v>
      </c>
      <c r="U214" t="s">
        <v>1393</v>
      </c>
    </row>
    <row r="215" spans="1:21">
      <c r="A215">
        <v>368</v>
      </c>
      <c r="B215" t="s">
        <v>1394</v>
      </c>
      <c r="C215" s="1">
        <v>44958</v>
      </c>
      <c r="D215" s="1">
        <v>44964</v>
      </c>
      <c r="E215" t="s">
        <v>36</v>
      </c>
      <c r="F215" t="s">
        <v>1395</v>
      </c>
      <c r="G215" t="s">
        <v>876</v>
      </c>
      <c r="H215" t="s">
        <v>25</v>
      </c>
      <c r="I215" t="s">
        <v>26</v>
      </c>
      <c r="J215" t="s">
        <v>157</v>
      </c>
      <c r="K215" t="s">
        <v>157</v>
      </c>
      <c r="L215">
        <v>20737</v>
      </c>
      <c r="M215" t="s">
        <v>62</v>
      </c>
      <c r="N215" t="s">
        <v>1396</v>
      </c>
      <c r="O215" t="s">
        <v>64</v>
      </c>
      <c r="P215" t="s">
        <v>65</v>
      </c>
      <c r="Q215" t="s">
        <v>1397</v>
      </c>
      <c r="R215" t="s">
        <v>1398</v>
      </c>
      <c r="S215">
        <v>4</v>
      </c>
      <c r="T215" s="2">
        <v>0.1</v>
      </c>
      <c r="U215" t="s">
        <v>1399</v>
      </c>
    </row>
    <row r="216" spans="1:21">
      <c r="A216">
        <v>585</v>
      </c>
      <c r="B216" t="s">
        <v>1400</v>
      </c>
      <c r="C216" s="1">
        <v>44962</v>
      </c>
      <c r="D216" s="1">
        <v>44966</v>
      </c>
      <c r="E216" t="s">
        <v>49</v>
      </c>
      <c r="F216" t="s">
        <v>1401</v>
      </c>
      <c r="G216" t="s">
        <v>425</v>
      </c>
      <c r="H216" t="s">
        <v>25</v>
      </c>
      <c r="I216" t="s">
        <v>26</v>
      </c>
      <c r="J216" t="s">
        <v>641</v>
      </c>
      <c r="K216" t="s">
        <v>641</v>
      </c>
      <c r="L216">
        <v>25290</v>
      </c>
      <c r="M216" t="s">
        <v>62</v>
      </c>
      <c r="N216" t="s">
        <v>1402</v>
      </c>
      <c r="O216" t="s">
        <v>30</v>
      </c>
      <c r="P216" t="s">
        <v>31</v>
      </c>
      <c r="Q216" t="s">
        <v>1403</v>
      </c>
      <c r="R216" t="s">
        <v>1404</v>
      </c>
      <c r="S216">
        <v>3</v>
      </c>
      <c r="T216" s="2">
        <v>0</v>
      </c>
      <c r="U216" t="s">
        <v>1405</v>
      </c>
    </row>
    <row r="217" spans="1:21">
      <c r="A217">
        <v>15</v>
      </c>
      <c r="B217" t="s">
        <v>1406</v>
      </c>
      <c r="C217" s="1">
        <v>44962</v>
      </c>
      <c r="D217" s="1">
        <v>44965</v>
      </c>
      <c r="E217" t="s">
        <v>36</v>
      </c>
      <c r="F217" t="s">
        <v>1407</v>
      </c>
      <c r="G217" t="s">
        <v>1265</v>
      </c>
      <c r="H217" t="s">
        <v>39</v>
      </c>
      <c r="I217" t="s">
        <v>26</v>
      </c>
      <c r="J217" t="s">
        <v>212</v>
      </c>
      <c r="K217" t="s">
        <v>212</v>
      </c>
      <c r="L217">
        <v>84543</v>
      </c>
      <c r="M217" t="s">
        <v>28</v>
      </c>
      <c r="N217" t="s">
        <v>1408</v>
      </c>
      <c r="O217" t="s">
        <v>30</v>
      </c>
      <c r="P217" t="s">
        <v>222</v>
      </c>
      <c r="Q217" t="s">
        <v>1409</v>
      </c>
      <c r="R217" t="s">
        <v>1410</v>
      </c>
      <c r="S217">
        <v>3</v>
      </c>
      <c r="T217" s="2">
        <v>0.15</v>
      </c>
      <c r="U217" t="s">
        <v>1411</v>
      </c>
    </row>
    <row r="218" spans="1:21">
      <c r="A218">
        <v>169</v>
      </c>
      <c r="B218" t="s">
        <v>1412</v>
      </c>
      <c r="C218" s="1">
        <v>44962</v>
      </c>
      <c r="D218" s="1">
        <v>44966</v>
      </c>
      <c r="E218" t="s">
        <v>49</v>
      </c>
      <c r="F218" t="s">
        <v>1413</v>
      </c>
      <c r="G218" t="s">
        <v>142</v>
      </c>
      <c r="H218" t="s">
        <v>39</v>
      </c>
      <c r="I218" t="s">
        <v>26</v>
      </c>
      <c r="J218" t="s">
        <v>81</v>
      </c>
      <c r="K218" t="s">
        <v>81</v>
      </c>
      <c r="L218">
        <v>64040</v>
      </c>
      <c r="M218" t="s">
        <v>62</v>
      </c>
      <c r="N218" t="s">
        <v>1414</v>
      </c>
      <c r="O218" t="s">
        <v>43</v>
      </c>
      <c r="P218" t="s">
        <v>83</v>
      </c>
      <c r="Q218" t="s">
        <v>1196</v>
      </c>
      <c r="R218" t="s">
        <v>1415</v>
      </c>
      <c r="S218">
        <v>5</v>
      </c>
      <c r="T218" s="2">
        <v>0.2</v>
      </c>
      <c r="U218" t="s">
        <v>1416</v>
      </c>
    </row>
    <row r="219" spans="1:21">
      <c r="A219">
        <v>37</v>
      </c>
      <c r="B219" t="s">
        <v>1417</v>
      </c>
      <c r="C219" s="1">
        <v>44962</v>
      </c>
      <c r="D219" s="1">
        <v>44964</v>
      </c>
      <c r="E219" t="s">
        <v>49</v>
      </c>
      <c r="F219" t="s">
        <v>1418</v>
      </c>
      <c r="G219" t="s">
        <v>95</v>
      </c>
      <c r="H219" t="s">
        <v>39</v>
      </c>
      <c r="I219" t="s">
        <v>26</v>
      </c>
      <c r="J219" t="s">
        <v>260</v>
      </c>
      <c r="K219" t="s">
        <v>260</v>
      </c>
      <c r="L219">
        <v>63413</v>
      </c>
      <c r="M219" t="s">
        <v>41</v>
      </c>
      <c r="N219" t="s">
        <v>1419</v>
      </c>
      <c r="O219" t="s">
        <v>43</v>
      </c>
      <c r="P219" t="s">
        <v>44</v>
      </c>
      <c r="Q219" t="s">
        <v>1420</v>
      </c>
      <c r="R219" t="s">
        <v>1421</v>
      </c>
      <c r="S219">
        <v>4</v>
      </c>
      <c r="T219" s="2">
        <v>0.5</v>
      </c>
      <c r="U219" t="s">
        <v>1157</v>
      </c>
    </row>
    <row r="220" spans="1:21">
      <c r="A220">
        <v>415</v>
      </c>
      <c r="B220" t="s">
        <v>1422</v>
      </c>
      <c r="C220" s="1">
        <v>44963</v>
      </c>
      <c r="D220" s="1">
        <v>44967</v>
      </c>
      <c r="E220" t="s">
        <v>36</v>
      </c>
      <c r="F220" t="s">
        <v>1423</v>
      </c>
      <c r="G220" t="s">
        <v>594</v>
      </c>
      <c r="H220" t="s">
        <v>25</v>
      </c>
      <c r="I220" t="s">
        <v>26</v>
      </c>
      <c r="J220" t="s">
        <v>61</v>
      </c>
      <c r="K220" t="s">
        <v>61</v>
      </c>
      <c r="L220">
        <v>98478</v>
      </c>
      <c r="M220" t="s">
        <v>62</v>
      </c>
      <c r="N220" t="s">
        <v>1424</v>
      </c>
      <c r="O220" t="s">
        <v>64</v>
      </c>
      <c r="P220" t="s">
        <v>405</v>
      </c>
      <c r="Q220" t="s">
        <v>480</v>
      </c>
      <c r="R220" t="s">
        <v>1425</v>
      </c>
      <c r="S220">
        <v>2</v>
      </c>
      <c r="T220" s="2">
        <v>0.1</v>
      </c>
      <c r="U220" t="s">
        <v>1426</v>
      </c>
    </row>
    <row r="221" spans="1:21">
      <c r="A221">
        <v>340</v>
      </c>
      <c r="B221" t="s">
        <v>1427</v>
      </c>
      <c r="C221" s="1">
        <v>44964</v>
      </c>
      <c r="D221" s="1">
        <v>44967</v>
      </c>
      <c r="E221" t="s">
        <v>49</v>
      </c>
      <c r="F221" t="s">
        <v>1428</v>
      </c>
      <c r="G221" t="s">
        <v>1429</v>
      </c>
      <c r="H221" t="s">
        <v>25</v>
      </c>
      <c r="I221" t="s">
        <v>26</v>
      </c>
      <c r="J221" t="s">
        <v>363</v>
      </c>
      <c r="K221" t="s">
        <v>363</v>
      </c>
      <c r="L221">
        <v>29423</v>
      </c>
      <c r="M221" t="s">
        <v>62</v>
      </c>
      <c r="N221" t="s">
        <v>946</v>
      </c>
      <c r="O221" t="s">
        <v>30</v>
      </c>
      <c r="P221" t="s">
        <v>120</v>
      </c>
      <c r="Q221" t="s">
        <v>1430</v>
      </c>
      <c r="R221" t="s">
        <v>1431</v>
      </c>
      <c r="S221">
        <v>1</v>
      </c>
      <c r="T221" s="2">
        <v>0.05</v>
      </c>
      <c r="U221" t="s">
        <v>1432</v>
      </c>
    </row>
    <row r="222" spans="1:21">
      <c r="A222">
        <v>35</v>
      </c>
      <c r="B222" t="s">
        <v>1433</v>
      </c>
      <c r="C222" s="1">
        <v>44966</v>
      </c>
      <c r="D222" s="1">
        <v>44967</v>
      </c>
      <c r="E222" t="s">
        <v>382</v>
      </c>
      <c r="F222" t="s">
        <v>1434</v>
      </c>
      <c r="G222" t="s">
        <v>1166</v>
      </c>
      <c r="H222" t="s">
        <v>60</v>
      </c>
      <c r="I222" t="s">
        <v>26</v>
      </c>
      <c r="J222" t="s">
        <v>363</v>
      </c>
      <c r="K222" t="s">
        <v>363</v>
      </c>
      <c r="L222">
        <v>44816</v>
      </c>
      <c r="M222" t="s">
        <v>62</v>
      </c>
      <c r="N222" t="s">
        <v>1435</v>
      </c>
      <c r="O222" t="s">
        <v>43</v>
      </c>
      <c r="P222" t="s">
        <v>44</v>
      </c>
      <c r="Q222" t="s">
        <v>1436</v>
      </c>
      <c r="R222" t="s">
        <v>1437</v>
      </c>
      <c r="S222">
        <v>5</v>
      </c>
      <c r="T222" s="2">
        <v>0.4</v>
      </c>
      <c r="U222" t="s">
        <v>1438</v>
      </c>
    </row>
    <row r="223" spans="1:21">
      <c r="A223">
        <v>594</v>
      </c>
      <c r="B223" t="s">
        <v>1439</v>
      </c>
      <c r="C223" s="1">
        <v>44966</v>
      </c>
      <c r="D223" s="1">
        <v>44968</v>
      </c>
      <c r="E223" t="s">
        <v>36</v>
      </c>
      <c r="F223" t="s">
        <v>1440</v>
      </c>
      <c r="G223" t="s">
        <v>713</v>
      </c>
      <c r="H223" t="s">
        <v>25</v>
      </c>
      <c r="I223" t="s">
        <v>26</v>
      </c>
      <c r="J223" t="s">
        <v>260</v>
      </c>
      <c r="K223" t="s">
        <v>260</v>
      </c>
      <c r="L223">
        <v>82793</v>
      </c>
      <c r="M223" t="s">
        <v>41</v>
      </c>
      <c r="N223" t="s">
        <v>1441</v>
      </c>
      <c r="O223" t="s">
        <v>43</v>
      </c>
      <c r="P223" t="s">
        <v>189</v>
      </c>
      <c r="Q223" t="s">
        <v>281</v>
      </c>
      <c r="R223" t="s">
        <v>1442</v>
      </c>
      <c r="S223">
        <v>4</v>
      </c>
      <c r="T223" s="2">
        <v>0.2</v>
      </c>
      <c r="U223" t="s">
        <v>1443</v>
      </c>
    </row>
    <row r="224" spans="1:21">
      <c r="A224">
        <v>224</v>
      </c>
      <c r="B224" t="s">
        <v>1444</v>
      </c>
      <c r="C224" s="1">
        <v>44967</v>
      </c>
      <c r="D224" s="1">
        <v>44970</v>
      </c>
      <c r="E224" t="s">
        <v>36</v>
      </c>
      <c r="F224" t="s">
        <v>1445</v>
      </c>
      <c r="G224" t="s">
        <v>1446</v>
      </c>
      <c r="H224" t="s">
        <v>25</v>
      </c>
      <c r="I224" t="s">
        <v>26</v>
      </c>
      <c r="J224" t="s">
        <v>52</v>
      </c>
      <c r="K224" t="s">
        <v>52</v>
      </c>
      <c r="L224">
        <v>15213</v>
      </c>
      <c r="M224" t="s">
        <v>41</v>
      </c>
      <c r="N224" t="s">
        <v>1447</v>
      </c>
      <c r="O224" t="s">
        <v>43</v>
      </c>
      <c r="P224" t="s">
        <v>189</v>
      </c>
      <c r="Q224" t="s">
        <v>1249</v>
      </c>
      <c r="R224" t="s">
        <v>1448</v>
      </c>
      <c r="S224">
        <v>3</v>
      </c>
      <c r="T224" s="2">
        <v>0.15</v>
      </c>
      <c r="U224" t="s">
        <v>1449</v>
      </c>
    </row>
    <row r="225" spans="1:21">
      <c r="A225">
        <v>116</v>
      </c>
      <c r="B225" t="s">
        <v>1450</v>
      </c>
      <c r="C225" s="1">
        <v>44969</v>
      </c>
      <c r="D225" s="1">
        <v>44971</v>
      </c>
      <c r="E225" t="s">
        <v>36</v>
      </c>
      <c r="F225" t="s">
        <v>1451</v>
      </c>
      <c r="G225" t="s">
        <v>1452</v>
      </c>
      <c r="H225" t="s">
        <v>25</v>
      </c>
      <c r="I225" t="s">
        <v>26</v>
      </c>
      <c r="J225" t="s">
        <v>301</v>
      </c>
      <c r="K225" t="s">
        <v>301</v>
      </c>
      <c r="L225">
        <v>86295</v>
      </c>
      <c r="M225" t="s">
        <v>73</v>
      </c>
      <c r="N225" t="s">
        <v>1453</v>
      </c>
      <c r="O225" t="s">
        <v>64</v>
      </c>
      <c r="P225" t="s">
        <v>65</v>
      </c>
      <c r="Q225" t="s">
        <v>1454</v>
      </c>
      <c r="R225" t="s">
        <v>1455</v>
      </c>
      <c r="S225">
        <v>4</v>
      </c>
      <c r="T225" s="2">
        <v>0.1</v>
      </c>
      <c r="U225" t="s">
        <v>1456</v>
      </c>
    </row>
    <row r="226" spans="1:21">
      <c r="A226">
        <v>513</v>
      </c>
      <c r="B226" t="s">
        <v>1457</v>
      </c>
      <c r="C226" s="1">
        <v>44971</v>
      </c>
      <c r="D226" s="1">
        <v>44976</v>
      </c>
      <c r="E226" t="s">
        <v>36</v>
      </c>
      <c r="F226" t="s">
        <v>1458</v>
      </c>
      <c r="G226" t="s">
        <v>349</v>
      </c>
      <c r="H226" t="s">
        <v>25</v>
      </c>
      <c r="I226" t="s">
        <v>26</v>
      </c>
      <c r="J226" t="s">
        <v>229</v>
      </c>
      <c r="K226" t="s">
        <v>229</v>
      </c>
      <c r="L226">
        <v>63444</v>
      </c>
      <c r="M226" t="s">
        <v>73</v>
      </c>
      <c r="N226" t="s">
        <v>1135</v>
      </c>
      <c r="O226" t="s">
        <v>64</v>
      </c>
      <c r="P226" t="s">
        <v>405</v>
      </c>
      <c r="Q226" t="s">
        <v>1459</v>
      </c>
      <c r="R226" t="s">
        <v>1460</v>
      </c>
      <c r="S226">
        <v>5</v>
      </c>
      <c r="T226" s="2">
        <v>0</v>
      </c>
      <c r="U226" t="s">
        <v>1461</v>
      </c>
    </row>
    <row r="227" spans="1:21">
      <c r="A227">
        <v>263</v>
      </c>
      <c r="B227" t="s">
        <v>1462</v>
      </c>
      <c r="C227" s="1">
        <v>44971</v>
      </c>
      <c r="D227" s="1">
        <v>44973</v>
      </c>
      <c r="E227" t="s">
        <v>36</v>
      </c>
      <c r="F227" t="s">
        <v>1463</v>
      </c>
      <c r="G227" t="s">
        <v>1123</v>
      </c>
      <c r="H227" t="s">
        <v>25</v>
      </c>
      <c r="I227" t="s">
        <v>26</v>
      </c>
      <c r="J227" t="s">
        <v>157</v>
      </c>
      <c r="K227" t="s">
        <v>157</v>
      </c>
      <c r="L227">
        <v>43783</v>
      </c>
      <c r="M227" t="s">
        <v>62</v>
      </c>
      <c r="N227" t="s">
        <v>1464</v>
      </c>
      <c r="O227" t="s">
        <v>43</v>
      </c>
      <c r="P227" t="s">
        <v>44</v>
      </c>
      <c r="Q227" t="s">
        <v>650</v>
      </c>
      <c r="R227" t="s">
        <v>1465</v>
      </c>
      <c r="S227">
        <v>2</v>
      </c>
      <c r="T227" s="2">
        <v>0.3</v>
      </c>
      <c r="U227" t="s">
        <v>1466</v>
      </c>
    </row>
    <row r="228" spans="1:21">
      <c r="A228">
        <v>176</v>
      </c>
      <c r="B228" t="s">
        <v>1467</v>
      </c>
      <c r="C228" s="1">
        <v>44973</v>
      </c>
      <c r="D228" s="1">
        <v>44976</v>
      </c>
      <c r="E228" t="s">
        <v>382</v>
      </c>
      <c r="F228" t="s">
        <v>1468</v>
      </c>
      <c r="G228" t="s">
        <v>464</v>
      </c>
      <c r="H228" t="s">
        <v>39</v>
      </c>
      <c r="I228" t="s">
        <v>26</v>
      </c>
      <c r="J228" t="s">
        <v>212</v>
      </c>
      <c r="K228" t="s">
        <v>212</v>
      </c>
      <c r="L228">
        <v>87240</v>
      </c>
      <c r="M228" t="s">
        <v>28</v>
      </c>
      <c r="N228" t="s">
        <v>1469</v>
      </c>
      <c r="O228" t="s">
        <v>43</v>
      </c>
      <c r="P228" t="s">
        <v>128</v>
      </c>
      <c r="Q228" t="s">
        <v>656</v>
      </c>
      <c r="R228" t="s">
        <v>1470</v>
      </c>
      <c r="S228">
        <v>4</v>
      </c>
      <c r="T228" s="2">
        <v>0.15</v>
      </c>
      <c r="U228" t="s">
        <v>1471</v>
      </c>
    </row>
    <row r="229" spans="1:21">
      <c r="A229">
        <v>535</v>
      </c>
      <c r="B229" t="s">
        <v>1472</v>
      </c>
      <c r="C229" s="1">
        <v>44976</v>
      </c>
      <c r="D229" s="1">
        <v>44980</v>
      </c>
      <c r="E229" t="s">
        <v>22</v>
      </c>
      <c r="F229" t="s">
        <v>1473</v>
      </c>
      <c r="G229" t="s">
        <v>1018</v>
      </c>
      <c r="H229" t="s">
        <v>39</v>
      </c>
      <c r="I229" t="s">
        <v>26</v>
      </c>
      <c r="J229" t="s">
        <v>260</v>
      </c>
      <c r="K229" t="s">
        <v>260</v>
      </c>
      <c r="L229">
        <v>94787</v>
      </c>
      <c r="M229" t="s">
        <v>41</v>
      </c>
      <c r="N229" t="s">
        <v>1474</v>
      </c>
      <c r="O229" t="s">
        <v>43</v>
      </c>
      <c r="P229" t="s">
        <v>128</v>
      </c>
      <c r="Q229" t="s">
        <v>656</v>
      </c>
      <c r="R229" t="s">
        <v>1475</v>
      </c>
      <c r="S229">
        <v>3</v>
      </c>
      <c r="T229" s="2">
        <v>0.05</v>
      </c>
      <c r="U229" t="s">
        <v>1476</v>
      </c>
    </row>
    <row r="230" spans="1:21">
      <c r="A230">
        <v>211</v>
      </c>
      <c r="B230" t="s">
        <v>1477</v>
      </c>
      <c r="C230" s="1">
        <v>44977</v>
      </c>
      <c r="D230" s="1">
        <v>44981</v>
      </c>
      <c r="E230" t="s">
        <v>49</v>
      </c>
      <c r="F230" t="s">
        <v>1478</v>
      </c>
      <c r="G230" t="s">
        <v>1479</v>
      </c>
      <c r="H230" t="s">
        <v>39</v>
      </c>
      <c r="I230" t="s">
        <v>26</v>
      </c>
      <c r="J230" t="s">
        <v>212</v>
      </c>
      <c r="K230" t="s">
        <v>212</v>
      </c>
      <c r="L230">
        <v>59810</v>
      </c>
      <c r="M230" t="s">
        <v>28</v>
      </c>
      <c r="N230" t="s">
        <v>1480</v>
      </c>
      <c r="O230" t="s">
        <v>30</v>
      </c>
      <c r="P230" t="s">
        <v>120</v>
      </c>
      <c r="Q230" t="s">
        <v>357</v>
      </c>
      <c r="R230" t="s">
        <v>1481</v>
      </c>
      <c r="S230">
        <v>1</v>
      </c>
      <c r="T230" s="2">
        <v>0.15</v>
      </c>
      <c r="U230" t="s">
        <v>1482</v>
      </c>
    </row>
    <row r="231" spans="1:21">
      <c r="A231">
        <v>25</v>
      </c>
      <c r="B231" t="s">
        <v>1483</v>
      </c>
      <c r="C231" s="1">
        <v>44979</v>
      </c>
      <c r="D231" s="1">
        <v>44981</v>
      </c>
      <c r="E231" t="s">
        <v>22</v>
      </c>
      <c r="F231" t="s">
        <v>1484</v>
      </c>
      <c r="G231" t="s">
        <v>1147</v>
      </c>
      <c r="H231" t="s">
        <v>25</v>
      </c>
      <c r="I231" t="s">
        <v>26</v>
      </c>
      <c r="J231" t="s">
        <v>40</v>
      </c>
      <c r="K231" t="s">
        <v>40</v>
      </c>
      <c r="L231">
        <v>95999</v>
      </c>
      <c r="M231" t="s">
        <v>41</v>
      </c>
      <c r="N231" t="s">
        <v>1485</v>
      </c>
      <c r="O231" t="s">
        <v>30</v>
      </c>
      <c r="P231" t="s">
        <v>31</v>
      </c>
      <c r="Q231" t="s">
        <v>726</v>
      </c>
      <c r="R231" t="s">
        <v>1486</v>
      </c>
      <c r="S231">
        <v>5</v>
      </c>
      <c r="T231" s="2">
        <v>0.1</v>
      </c>
      <c r="U231" t="s">
        <v>1487</v>
      </c>
    </row>
    <row r="232" spans="1:21">
      <c r="A232">
        <v>288</v>
      </c>
      <c r="B232" t="s">
        <v>1488</v>
      </c>
      <c r="C232" s="1">
        <v>44980</v>
      </c>
      <c r="D232" s="1">
        <v>44983</v>
      </c>
      <c r="E232" t="s">
        <v>22</v>
      </c>
      <c r="F232" t="s">
        <v>1489</v>
      </c>
      <c r="G232" t="s">
        <v>614</v>
      </c>
      <c r="H232" t="s">
        <v>60</v>
      </c>
      <c r="I232" t="s">
        <v>26</v>
      </c>
      <c r="J232" t="s">
        <v>363</v>
      </c>
      <c r="K232" t="s">
        <v>363</v>
      </c>
      <c r="L232">
        <v>15974</v>
      </c>
      <c r="M232" t="s">
        <v>62</v>
      </c>
      <c r="N232" t="s">
        <v>1490</v>
      </c>
      <c r="O232" t="s">
        <v>30</v>
      </c>
      <c r="P232" t="s">
        <v>222</v>
      </c>
      <c r="Q232" t="s">
        <v>1491</v>
      </c>
      <c r="R232" t="s">
        <v>1492</v>
      </c>
      <c r="S232">
        <v>7</v>
      </c>
      <c r="T232" s="2">
        <v>0.15</v>
      </c>
      <c r="U232" t="s">
        <v>1493</v>
      </c>
    </row>
    <row r="233" spans="1:21">
      <c r="A233">
        <v>121</v>
      </c>
      <c r="B233" t="s">
        <v>1494</v>
      </c>
      <c r="C233" s="1">
        <v>44982</v>
      </c>
      <c r="D233" s="1">
        <v>44985</v>
      </c>
      <c r="E233" t="s">
        <v>49</v>
      </c>
      <c r="F233" t="s">
        <v>1495</v>
      </c>
      <c r="G233" t="s">
        <v>1496</v>
      </c>
      <c r="H233" t="s">
        <v>39</v>
      </c>
      <c r="I233" t="s">
        <v>26</v>
      </c>
      <c r="J233" t="s">
        <v>27</v>
      </c>
      <c r="K233" t="s">
        <v>27</v>
      </c>
      <c r="L233">
        <v>59666</v>
      </c>
      <c r="M233" t="s">
        <v>28</v>
      </c>
      <c r="N233" t="s">
        <v>1497</v>
      </c>
      <c r="O233" t="s">
        <v>43</v>
      </c>
      <c r="P233" t="s">
        <v>189</v>
      </c>
      <c r="Q233" t="s">
        <v>1498</v>
      </c>
      <c r="R233" t="s">
        <v>1499</v>
      </c>
      <c r="S233">
        <v>2</v>
      </c>
      <c r="T233" s="2">
        <v>0.15</v>
      </c>
      <c r="U233" t="s">
        <v>1500</v>
      </c>
    </row>
    <row r="234" spans="1:21">
      <c r="A234">
        <v>346</v>
      </c>
      <c r="B234" t="s">
        <v>1501</v>
      </c>
      <c r="C234" s="1">
        <v>44985</v>
      </c>
      <c r="D234" s="1">
        <v>44987</v>
      </c>
      <c r="E234" t="s">
        <v>49</v>
      </c>
      <c r="F234" t="s">
        <v>1502</v>
      </c>
      <c r="G234" t="s">
        <v>1503</v>
      </c>
      <c r="H234" t="s">
        <v>25</v>
      </c>
      <c r="I234" t="s">
        <v>26</v>
      </c>
      <c r="J234" t="s">
        <v>61</v>
      </c>
      <c r="K234" t="s">
        <v>61</v>
      </c>
      <c r="L234">
        <v>97318</v>
      </c>
      <c r="M234" t="s">
        <v>62</v>
      </c>
      <c r="N234" t="s">
        <v>1299</v>
      </c>
      <c r="O234" t="s">
        <v>30</v>
      </c>
      <c r="P234" t="s">
        <v>197</v>
      </c>
      <c r="Q234" t="s">
        <v>1504</v>
      </c>
      <c r="R234" t="s">
        <v>1505</v>
      </c>
      <c r="S234">
        <v>6</v>
      </c>
      <c r="T234" s="2">
        <v>0.1</v>
      </c>
      <c r="U234" t="s">
        <v>1506</v>
      </c>
    </row>
    <row r="235" spans="1:21">
      <c r="A235">
        <v>488</v>
      </c>
      <c r="B235" t="s">
        <v>1507</v>
      </c>
      <c r="C235" s="1">
        <v>44988</v>
      </c>
      <c r="D235" s="1">
        <v>44993</v>
      </c>
      <c r="E235" t="s">
        <v>36</v>
      </c>
      <c r="F235" t="s">
        <v>1508</v>
      </c>
      <c r="G235" t="s">
        <v>315</v>
      </c>
      <c r="H235" t="s">
        <v>25</v>
      </c>
      <c r="I235" t="s">
        <v>26</v>
      </c>
      <c r="J235" t="s">
        <v>438</v>
      </c>
      <c r="K235" t="s">
        <v>438</v>
      </c>
      <c r="L235">
        <v>79835</v>
      </c>
      <c r="M235" t="s">
        <v>28</v>
      </c>
      <c r="N235" t="s">
        <v>1509</v>
      </c>
      <c r="O235" t="s">
        <v>64</v>
      </c>
      <c r="P235" t="s">
        <v>405</v>
      </c>
      <c r="Q235" t="s">
        <v>1510</v>
      </c>
      <c r="R235" t="s">
        <v>1511</v>
      </c>
      <c r="S235">
        <v>2</v>
      </c>
      <c r="T235" s="2">
        <v>0.3</v>
      </c>
      <c r="U235" t="s">
        <v>1512</v>
      </c>
    </row>
    <row r="236" spans="1:21">
      <c r="A236">
        <v>470</v>
      </c>
      <c r="B236" t="s">
        <v>1513</v>
      </c>
      <c r="C236" s="1">
        <v>44994</v>
      </c>
      <c r="D236" s="1">
        <v>45000</v>
      </c>
      <c r="E236" t="s">
        <v>36</v>
      </c>
      <c r="F236" t="s">
        <v>1514</v>
      </c>
      <c r="G236" t="s">
        <v>1265</v>
      </c>
      <c r="H236" t="s">
        <v>25</v>
      </c>
      <c r="I236" t="s">
        <v>26</v>
      </c>
      <c r="J236" t="s">
        <v>229</v>
      </c>
      <c r="K236" t="s">
        <v>229</v>
      </c>
      <c r="L236">
        <v>85312</v>
      </c>
      <c r="M236" t="s">
        <v>73</v>
      </c>
      <c r="N236" t="s">
        <v>1515</v>
      </c>
      <c r="O236" t="s">
        <v>43</v>
      </c>
      <c r="P236" t="s">
        <v>189</v>
      </c>
      <c r="Q236" t="s">
        <v>905</v>
      </c>
      <c r="R236" t="s">
        <v>1173</v>
      </c>
      <c r="S236">
        <v>1</v>
      </c>
      <c r="T236" s="2">
        <v>0.15</v>
      </c>
      <c r="U236" t="s">
        <v>1516</v>
      </c>
    </row>
    <row r="237" spans="1:21">
      <c r="A237">
        <v>455</v>
      </c>
      <c r="B237" t="s">
        <v>1517</v>
      </c>
      <c r="C237" s="1">
        <v>44995</v>
      </c>
      <c r="D237" s="1">
        <v>45000</v>
      </c>
      <c r="E237" t="s">
        <v>36</v>
      </c>
      <c r="F237" t="s">
        <v>1518</v>
      </c>
      <c r="G237" t="s">
        <v>1519</v>
      </c>
      <c r="H237" t="s">
        <v>25</v>
      </c>
      <c r="I237" t="s">
        <v>26</v>
      </c>
      <c r="J237" t="s">
        <v>81</v>
      </c>
      <c r="K237" t="s">
        <v>81</v>
      </c>
      <c r="L237">
        <v>12402</v>
      </c>
      <c r="M237" t="s">
        <v>62</v>
      </c>
      <c r="N237" t="s">
        <v>1520</v>
      </c>
      <c r="O237" t="s">
        <v>30</v>
      </c>
      <c r="P237" t="s">
        <v>31</v>
      </c>
      <c r="Q237" t="s">
        <v>1521</v>
      </c>
      <c r="R237" t="s">
        <v>1522</v>
      </c>
      <c r="S237">
        <v>7</v>
      </c>
      <c r="T237" s="2">
        <v>0.2</v>
      </c>
      <c r="U237" t="s">
        <v>1523</v>
      </c>
    </row>
    <row r="238" spans="1:21">
      <c r="A238">
        <v>370</v>
      </c>
      <c r="B238" t="s">
        <v>1524</v>
      </c>
      <c r="C238" s="1">
        <v>44995</v>
      </c>
      <c r="D238" s="1">
        <v>44997</v>
      </c>
      <c r="E238" t="s">
        <v>36</v>
      </c>
      <c r="F238" t="s">
        <v>1525</v>
      </c>
      <c r="G238" t="s">
        <v>259</v>
      </c>
      <c r="H238" t="s">
        <v>25</v>
      </c>
      <c r="I238" t="s">
        <v>26</v>
      </c>
      <c r="J238" t="s">
        <v>363</v>
      </c>
      <c r="K238" t="s">
        <v>363</v>
      </c>
      <c r="L238">
        <v>59252</v>
      </c>
      <c r="M238" t="s">
        <v>62</v>
      </c>
      <c r="N238" t="s">
        <v>1526</v>
      </c>
      <c r="O238" t="s">
        <v>43</v>
      </c>
      <c r="P238" t="s">
        <v>44</v>
      </c>
      <c r="Q238" t="s">
        <v>1527</v>
      </c>
      <c r="R238" t="s">
        <v>1528</v>
      </c>
      <c r="S238">
        <v>5</v>
      </c>
      <c r="T238" s="2">
        <v>0.15</v>
      </c>
      <c r="U238" t="s">
        <v>1529</v>
      </c>
    </row>
    <row r="239" spans="1:21">
      <c r="A239">
        <v>133</v>
      </c>
      <c r="B239" t="s">
        <v>1530</v>
      </c>
      <c r="C239" s="1">
        <v>44996</v>
      </c>
      <c r="D239" s="1">
        <v>45000</v>
      </c>
      <c r="E239" t="s">
        <v>49</v>
      </c>
      <c r="F239" t="s">
        <v>1531</v>
      </c>
      <c r="G239" t="s">
        <v>945</v>
      </c>
      <c r="H239" t="s">
        <v>25</v>
      </c>
      <c r="I239" t="s">
        <v>26</v>
      </c>
      <c r="J239" t="s">
        <v>81</v>
      </c>
      <c r="K239" t="s">
        <v>81</v>
      </c>
      <c r="L239">
        <v>24939</v>
      </c>
      <c r="M239" t="s">
        <v>62</v>
      </c>
      <c r="N239" t="s">
        <v>1532</v>
      </c>
      <c r="O239" t="s">
        <v>30</v>
      </c>
      <c r="P239" t="s">
        <v>222</v>
      </c>
      <c r="Q239" t="s">
        <v>1533</v>
      </c>
      <c r="R239" t="s">
        <v>1534</v>
      </c>
      <c r="S239">
        <v>4</v>
      </c>
      <c r="T239" s="2">
        <v>0.3</v>
      </c>
      <c r="U239" t="s">
        <v>1535</v>
      </c>
    </row>
    <row r="240" spans="1:21">
      <c r="A240">
        <v>190</v>
      </c>
      <c r="B240" t="s">
        <v>1536</v>
      </c>
      <c r="C240" s="1">
        <v>44997</v>
      </c>
      <c r="D240" s="1">
        <v>45001</v>
      </c>
      <c r="E240" t="s">
        <v>49</v>
      </c>
      <c r="F240" t="s">
        <v>1537</v>
      </c>
      <c r="G240" t="s">
        <v>315</v>
      </c>
      <c r="H240" t="s">
        <v>39</v>
      </c>
      <c r="I240" t="s">
        <v>26</v>
      </c>
      <c r="J240" t="s">
        <v>260</v>
      </c>
      <c r="K240" t="s">
        <v>260</v>
      </c>
      <c r="L240">
        <v>75942</v>
      </c>
      <c r="M240" t="s">
        <v>41</v>
      </c>
      <c r="N240" t="s">
        <v>1538</v>
      </c>
      <c r="O240" t="s">
        <v>64</v>
      </c>
      <c r="P240" t="s">
        <v>136</v>
      </c>
      <c r="Q240" t="s">
        <v>1539</v>
      </c>
      <c r="R240" t="s">
        <v>1540</v>
      </c>
      <c r="S240">
        <v>1</v>
      </c>
      <c r="T240" s="2">
        <v>0.15</v>
      </c>
      <c r="U240" t="s">
        <v>1541</v>
      </c>
    </row>
    <row r="241" spans="1:21">
      <c r="A241">
        <v>61</v>
      </c>
      <c r="B241" t="s">
        <v>1542</v>
      </c>
      <c r="C241" s="1">
        <v>45003</v>
      </c>
      <c r="D241" s="1">
        <v>45008</v>
      </c>
      <c r="E241" t="s">
        <v>36</v>
      </c>
      <c r="F241" t="s">
        <v>1543</v>
      </c>
      <c r="G241" t="s">
        <v>932</v>
      </c>
      <c r="H241" t="s">
        <v>60</v>
      </c>
      <c r="I241" t="s">
        <v>26</v>
      </c>
      <c r="J241" t="s">
        <v>81</v>
      </c>
      <c r="K241" t="s">
        <v>81</v>
      </c>
      <c r="L241">
        <v>50809</v>
      </c>
      <c r="M241" t="s">
        <v>62</v>
      </c>
      <c r="N241" t="s">
        <v>1544</v>
      </c>
      <c r="O241" t="s">
        <v>30</v>
      </c>
      <c r="P241" t="s">
        <v>222</v>
      </c>
      <c r="Q241" t="s">
        <v>1315</v>
      </c>
      <c r="R241" t="s">
        <v>1545</v>
      </c>
      <c r="S241">
        <v>1</v>
      </c>
      <c r="T241" s="2">
        <v>0.15</v>
      </c>
      <c r="U241" t="s">
        <v>1546</v>
      </c>
    </row>
    <row r="242" spans="1:21">
      <c r="A242">
        <v>418</v>
      </c>
      <c r="B242" t="s">
        <v>1547</v>
      </c>
      <c r="C242" s="1">
        <v>45004</v>
      </c>
      <c r="D242" s="1">
        <v>45006</v>
      </c>
      <c r="E242" t="s">
        <v>36</v>
      </c>
      <c r="F242" t="s">
        <v>1548</v>
      </c>
      <c r="G242" t="s">
        <v>648</v>
      </c>
      <c r="H242" t="s">
        <v>25</v>
      </c>
      <c r="I242" t="s">
        <v>26</v>
      </c>
      <c r="J242" t="s">
        <v>72</v>
      </c>
      <c r="K242" t="s">
        <v>72</v>
      </c>
      <c r="L242">
        <v>96338</v>
      </c>
      <c r="M242" t="s">
        <v>73</v>
      </c>
      <c r="N242" t="s">
        <v>1549</v>
      </c>
      <c r="O242" t="s">
        <v>64</v>
      </c>
      <c r="P242" t="s">
        <v>405</v>
      </c>
      <c r="Q242" t="s">
        <v>1550</v>
      </c>
      <c r="R242" t="s">
        <v>1551</v>
      </c>
      <c r="S242">
        <v>7</v>
      </c>
      <c r="T242" s="2">
        <v>0.4</v>
      </c>
      <c r="U242" t="s">
        <v>1552</v>
      </c>
    </row>
    <row r="243" spans="1:21">
      <c r="A243">
        <v>301</v>
      </c>
      <c r="B243" t="s">
        <v>1553</v>
      </c>
      <c r="C243" s="1">
        <v>45008</v>
      </c>
      <c r="D243" s="1">
        <v>45012</v>
      </c>
      <c r="E243" t="s">
        <v>36</v>
      </c>
      <c r="F243" t="s">
        <v>1554</v>
      </c>
      <c r="G243" t="s">
        <v>1555</v>
      </c>
      <c r="H243" t="s">
        <v>25</v>
      </c>
      <c r="I243" t="s">
        <v>26</v>
      </c>
      <c r="J243" t="s">
        <v>229</v>
      </c>
      <c r="K243" t="s">
        <v>229</v>
      </c>
      <c r="L243">
        <v>53254</v>
      </c>
      <c r="M243" t="s">
        <v>73</v>
      </c>
      <c r="N243" t="s">
        <v>1556</v>
      </c>
      <c r="O243" t="s">
        <v>43</v>
      </c>
      <c r="P243" t="s">
        <v>214</v>
      </c>
      <c r="Q243" t="s">
        <v>1557</v>
      </c>
      <c r="R243" t="s">
        <v>1558</v>
      </c>
      <c r="S243">
        <v>6</v>
      </c>
      <c r="T243" s="2">
        <v>0.1</v>
      </c>
      <c r="U243" t="s">
        <v>1559</v>
      </c>
    </row>
    <row r="244" spans="1:21">
      <c r="A244">
        <v>427</v>
      </c>
      <c r="B244" t="s">
        <v>1560</v>
      </c>
      <c r="C244" s="1">
        <v>45009</v>
      </c>
      <c r="D244" s="1">
        <v>45013</v>
      </c>
      <c r="E244" t="s">
        <v>36</v>
      </c>
      <c r="F244" t="s">
        <v>1561</v>
      </c>
      <c r="G244" t="s">
        <v>794</v>
      </c>
      <c r="H244" t="s">
        <v>25</v>
      </c>
      <c r="I244" t="s">
        <v>26</v>
      </c>
      <c r="J244" t="s">
        <v>301</v>
      </c>
      <c r="K244" t="s">
        <v>301</v>
      </c>
      <c r="L244">
        <v>47909</v>
      </c>
      <c r="M244" t="s">
        <v>73</v>
      </c>
      <c r="N244" t="s">
        <v>1562</v>
      </c>
      <c r="O244" t="s">
        <v>43</v>
      </c>
      <c r="P244" t="s">
        <v>128</v>
      </c>
      <c r="Q244" t="s">
        <v>1563</v>
      </c>
      <c r="R244" t="s">
        <v>1564</v>
      </c>
      <c r="S244">
        <v>7</v>
      </c>
      <c r="T244" s="2">
        <v>0</v>
      </c>
      <c r="U244" t="s">
        <v>1565</v>
      </c>
    </row>
    <row r="245" spans="1:21">
      <c r="A245">
        <v>181</v>
      </c>
      <c r="B245" t="s">
        <v>1566</v>
      </c>
      <c r="C245" s="1">
        <v>45011</v>
      </c>
      <c r="D245" s="1">
        <v>45017</v>
      </c>
      <c r="E245" t="s">
        <v>36</v>
      </c>
      <c r="F245" t="s">
        <v>1567</v>
      </c>
      <c r="G245" t="s">
        <v>757</v>
      </c>
      <c r="H245" t="s">
        <v>39</v>
      </c>
      <c r="I245" t="s">
        <v>26</v>
      </c>
      <c r="J245" t="s">
        <v>438</v>
      </c>
      <c r="K245" t="s">
        <v>438</v>
      </c>
      <c r="L245">
        <v>87960</v>
      </c>
      <c r="M245" t="s">
        <v>28</v>
      </c>
      <c r="N245" t="s">
        <v>720</v>
      </c>
      <c r="O245" t="s">
        <v>30</v>
      </c>
      <c r="P245" t="s">
        <v>120</v>
      </c>
      <c r="Q245" t="s">
        <v>759</v>
      </c>
      <c r="R245" t="s">
        <v>1568</v>
      </c>
      <c r="S245">
        <v>1</v>
      </c>
      <c r="T245" s="2">
        <v>0.05</v>
      </c>
      <c r="U245" t="s">
        <v>1569</v>
      </c>
    </row>
    <row r="246" spans="1:21">
      <c r="A246">
        <v>382</v>
      </c>
      <c r="B246" t="s">
        <v>1570</v>
      </c>
      <c r="C246" s="1">
        <v>45016</v>
      </c>
      <c r="D246" s="1">
        <v>45018</v>
      </c>
      <c r="E246" t="s">
        <v>36</v>
      </c>
      <c r="F246" t="s">
        <v>1571</v>
      </c>
      <c r="G246" t="s">
        <v>1572</v>
      </c>
      <c r="H246" t="s">
        <v>25</v>
      </c>
      <c r="I246" t="s">
        <v>26</v>
      </c>
      <c r="J246" t="s">
        <v>173</v>
      </c>
      <c r="K246" t="s">
        <v>173</v>
      </c>
      <c r="L246">
        <v>25791</v>
      </c>
      <c r="M246" t="s">
        <v>73</v>
      </c>
      <c r="N246" t="s">
        <v>595</v>
      </c>
      <c r="O246" t="s">
        <v>43</v>
      </c>
      <c r="P246" t="s">
        <v>214</v>
      </c>
      <c r="Q246" t="s">
        <v>1573</v>
      </c>
      <c r="R246" t="s">
        <v>1574</v>
      </c>
      <c r="S246">
        <v>2</v>
      </c>
      <c r="T246" s="2">
        <v>0.3</v>
      </c>
      <c r="U246" t="s">
        <v>1575</v>
      </c>
    </row>
    <row r="247" spans="1:21">
      <c r="A247">
        <v>483</v>
      </c>
      <c r="B247" t="s">
        <v>1576</v>
      </c>
      <c r="C247" s="1">
        <v>45017</v>
      </c>
      <c r="D247" s="1">
        <v>45020</v>
      </c>
      <c r="E247" t="s">
        <v>49</v>
      </c>
      <c r="F247" t="s">
        <v>1577</v>
      </c>
      <c r="G247" t="s">
        <v>876</v>
      </c>
      <c r="H247" t="s">
        <v>25</v>
      </c>
      <c r="I247" t="s">
        <v>26</v>
      </c>
      <c r="J247" t="s">
        <v>204</v>
      </c>
      <c r="K247" t="s">
        <v>204</v>
      </c>
      <c r="L247">
        <v>26911</v>
      </c>
      <c r="M247" t="s">
        <v>28</v>
      </c>
      <c r="N247" t="s">
        <v>1578</v>
      </c>
      <c r="O247" t="s">
        <v>64</v>
      </c>
      <c r="P247" t="s">
        <v>65</v>
      </c>
      <c r="Q247" t="s">
        <v>543</v>
      </c>
      <c r="R247" t="s">
        <v>1579</v>
      </c>
      <c r="S247">
        <v>2</v>
      </c>
      <c r="T247" s="2">
        <v>0.15</v>
      </c>
      <c r="U247" t="s">
        <v>1580</v>
      </c>
    </row>
    <row r="248" spans="1:21">
      <c r="A248">
        <v>500</v>
      </c>
      <c r="B248" t="s">
        <v>1581</v>
      </c>
      <c r="C248" s="1">
        <v>45017</v>
      </c>
      <c r="D248" s="1">
        <v>45020</v>
      </c>
      <c r="E248" t="s">
        <v>36</v>
      </c>
      <c r="F248" t="s">
        <v>1582</v>
      </c>
      <c r="G248" t="s">
        <v>1259</v>
      </c>
      <c r="H248" t="s">
        <v>60</v>
      </c>
      <c r="I248" t="s">
        <v>26</v>
      </c>
      <c r="J248" t="s">
        <v>260</v>
      </c>
      <c r="K248" t="s">
        <v>260</v>
      </c>
      <c r="L248">
        <v>38164</v>
      </c>
      <c r="M248" t="s">
        <v>41</v>
      </c>
      <c r="N248" t="s">
        <v>1583</v>
      </c>
      <c r="O248" t="s">
        <v>43</v>
      </c>
      <c r="P248" t="s">
        <v>214</v>
      </c>
      <c r="Q248" t="s">
        <v>1584</v>
      </c>
      <c r="R248" t="s">
        <v>1585</v>
      </c>
      <c r="S248">
        <v>5</v>
      </c>
      <c r="T248" s="2">
        <v>0.3</v>
      </c>
      <c r="U248" t="s">
        <v>1586</v>
      </c>
    </row>
    <row r="249" spans="1:21">
      <c r="A249">
        <v>363</v>
      </c>
      <c r="B249" t="s">
        <v>1587</v>
      </c>
      <c r="C249" s="1">
        <v>45017</v>
      </c>
      <c r="D249" s="1">
        <v>45019</v>
      </c>
      <c r="E249" t="s">
        <v>22</v>
      </c>
      <c r="F249" t="s">
        <v>1588</v>
      </c>
      <c r="G249" t="s">
        <v>1110</v>
      </c>
      <c r="H249" t="s">
        <v>25</v>
      </c>
      <c r="I249" t="s">
        <v>26</v>
      </c>
      <c r="J249" t="s">
        <v>150</v>
      </c>
      <c r="K249" t="s">
        <v>150</v>
      </c>
      <c r="L249">
        <v>70686</v>
      </c>
      <c r="M249" t="s">
        <v>73</v>
      </c>
      <c r="N249" t="s">
        <v>1414</v>
      </c>
      <c r="O249" t="s">
        <v>43</v>
      </c>
      <c r="P249" t="s">
        <v>189</v>
      </c>
      <c r="Q249" t="s">
        <v>1589</v>
      </c>
      <c r="R249" t="s">
        <v>1590</v>
      </c>
      <c r="S249">
        <v>4</v>
      </c>
      <c r="T249" s="2">
        <v>0.15</v>
      </c>
      <c r="U249" t="s">
        <v>1591</v>
      </c>
    </row>
    <row r="250" spans="1:21">
      <c r="A250">
        <v>277</v>
      </c>
      <c r="B250" t="s">
        <v>1592</v>
      </c>
      <c r="C250" s="1">
        <v>45018</v>
      </c>
      <c r="D250" s="1">
        <v>45020</v>
      </c>
      <c r="E250" t="s">
        <v>36</v>
      </c>
      <c r="F250" t="s">
        <v>1593</v>
      </c>
      <c r="G250" t="s">
        <v>1219</v>
      </c>
      <c r="H250" t="s">
        <v>25</v>
      </c>
      <c r="I250" t="s">
        <v>26</v>
      </c>
      <c r="J250" t="s">
        <v>96</v>
      </c>
      <c r="K250" t="s">
        <v>96</v>
      </c>
      <c r="L250">
        <v>62774</v>
      </c>
      <c r="M250" t="s">
        <v>28</v>
      </c>
      <c r="N250" t="s">
        <v>1032</v>
      </c>
      <c r="O250" t="s">
        <v>43</v>
      </c>
      <c r="P250" t="s">
        <v>166</v>
      </c>
      <c r="Q250" t="s">
        <v>1594</v>
      </c>
      <c r="R250" t="s">
        <v>1595</v>
      </c>
      <c r="S250">
        <v>6</v>
      </c>
      <c r="T250" s="2">
        <v>0</v>
      </c>
      <c r="U250" t="s">
        <v>1596</v>
      </c>
    </row>
    <row r="251" spans="1:21">
      <c r="A251">
        <v>578</v>
      </c>
      <c r="B251" t="s">
        <v>1597</v>
      </c>
      <c r="C251" s="1">
        <v>45021</v>
      </c>
      <c r="D251" s="1">
        <v>45025</v>
      </c>
      <c r="E251" t="s">
        <v>36</v>
      </c>
      <c r="F251" t="s">
        <v>1598</v>
      </c>
      <c r="G251" t="s">
        <v>1479</v>
      </c>
      <c r="H251" t="s">
        <v>25</v>
      </c>
      <c r="I251" t="s">
        <v>26</v>
      </c>
      <c r="J251" t="s">
        <v>301</v>
      </c>
      <c r="K251" t="s">
        <v>301</v>
      </c>
      <c r="L251">
        <v>47132</v>
      </c>
      <c r="M251" t="s">
        <v>73</v>
      </c>
      <c r="N251" t="s">
        <v>1202</v>
      </c>
      <c r="O251" t="s">
        <v>64</v>
      </c>
      <c r="P251" t="s">
        <v>136</v>
      </c>
      <c r="Q251" t="s">
        <v>1046</v>
      </c>
      <c r="R251" t="s">
        <v>1599</v>
      </c>
      <c r="S251">
        <v>5</v>
      </c>
      <c r="T251" s="2">
        <v>0.15</v>
      </c>
      <c r="U251" t="s">
        <v>1600</v>
      </c>
    </row>
    <row r="252" spans="1:21">
      <c r="A252">
        <v>2</v>
      </c>
      <c r="B252" t="s">
        <v>1601</v>
      </c>
      <c r="C252" s="1">
        <v>45021</v>
      </c>
      <c r="D252" s="1">
        <v>45024</v>
      </c>
      <c r="E252" t="s">
        <v>36</v>
      </c>
      <c r="F252" t="s">
        <v>1602</v>
      </c>
      <c r="G252" t="s">
        <v>252</v>
      </c>
      <c r="H252" t="s">
        <v>39</v>
      </c>
      <c r="I252" t="s">
        <v>26</v>
      </c>
      <c r="J252" t="s">
        <v>301</v>
      </c>
      <c r="K252" t="s">
        <v>301</v>
      </c>
      <c r="L252">
        <v>51606</v>
      </c>
      <c r="M252" t="s">
        <v>73</v>
      </c>
      <c r="N252" t="s">
        <v>1603</v>
      </c>
      <c r="O252" t="s">
        <v>43</v>
      </c>
      <c r="P252" t="s">
        <v>214</v>
      </c>
      <c r="Q252" t="s">
        <v>1604</v>
      </c>
      <c r="R252" t="s">
        <v>1605</v>
      </c>
      <c r="S252">
        <v>4</v>
      </c>
      <c r="T252" s="2">
        <v>0.2</v>
      </c>
      <c r="U252" t="s">
        <v>1606</v>
      </c>
    </row>
    <row r="253" spans="1:21">
      <c r="A253">
        <v>562</v>
      </c>
      <c r="B253" t="s">
        <v>1607</v>
      </c>
      <c r="C253" s="1">
        <v>45021</v>
      </c>
      <c r="D253" s="1">
        <v>45024</v>
      </c>
      <c r="E253" t="s">
        <v>36</v>
      </c>
      <c r="F253" t="s">
        <v>1608</v>
      </c>
      <c r="G253" t="s">
        <v>1259</v>
      </c>
      <c r="H253" t="s">
        <v>25</v>
      </c>
      <c r="I253" t="s">
        <v>26</v>
      </c>
      <c r="J253" t="s">
        <v>204</v>
      </c>
      <c r="K253" t="s">
        <v>204</v>
      </c>
      <c r="L253">
        <v>89782</v>
      </c>
      <c r="M253" t="s">
        <v>28</v>
      </c>
      <c r="N253" t="s">
        <v>1609</v>
      </c>
      <c r="O253" t="s">
        <v>64</v>
      </c>
      <c r="P253" t="s">
        <v>65</v>
      </c>
      <c r="Q253" t="s">
        <v>1610</v>
      </c>
      <c r="R253" t="s">
        <v>1611</v>
      </c>
      <c r="S253">
        <v>4</v>
      </c>
      <c r="T253" s="2">
        <v>0.4</v>
      </c>
      <c r="U253" t="s">
        <v>1612</v>
      </c>
    </row>
    <row r="254" spans="1:21">
      <c r="A254">
        <v>412</v>
      </c>
      <c r="B254" t="s">
        <v>1613</v>
      </c>
      <c r="C254" s="1">
        <v>45024</v>
      </c>
      <c r="D254" s="1">
        <v>45025</v>
      </c>
      <c r="E254" t="s">
        <v>49</v>
      </c>
      <c r="F254" t="s">
        <v>1614</v>
      </c>
      <c r="G254" t="s">
        <v>731</v>
      </c>
      <c r="H254" t="s">
        <v>25</v>
      </c>
      <c r="I254" t="s">
        <v>26</v>
      </c>
      <c r="J254" t="s">
        <v>157</v>
      </c>
      <c r="K254" t="s">
        <v>157</v>
      </c>
      <c r="L254">
        <v>48744</v>
      </c>
      <c r="M254" t="s">
        <v>62</v>
      </c>
      <c r="N254" t="s">
        <v>1615</v>
      </c>
      <c r="O254" t="s">
        <v>43</v>
      </c>
      <c r="P254" t="s">
        <v>214</v>
      </c>
      <c r="Q254" t="s">
        <v>1584</v>
      </c>
      <c r="R254" t="s">
        <v>1616</v>
      </c>
      <c r="S254">
        <v>7</v>
      </c>
      <c r="T254" s="2">
        <v>0.2</v>
      </c>
      <c r="U254" t="s">
        <v>1617</v>
      </c>
    </row>
    <row r="255" spans="1:21">
      <c r="A255">
        <v>482</v>
      </c>
      <c r="B255" t="s">
        <v>1618</v>
      </c>
      <c r="C255" s="1">
        <v>45028</v>
      </c>
      <c r="D255" s="1">
        <v>45031</v>
      </c>
      <c r="E255" t="s">
        <v>382</v>
      </c>
      <c r="F255" t="s">
        <v>1619</v>
      </c>
      <c r="G255" t="s">
        <v>719</v>
      </c>
      <c r="H255" t="s">
        <v>25</v>
      </c>
      <c r="I255" t="s">
        <v>26</v>
      </c>
      <c r="J255" t="s">
        <v>96</v>
      </c>
      <c r="K255" t="s">
        <v>96</v>
      </c>
      <c r="L255">
        <v>90992</v>
      </c>
      <c r="M255" t="s">
        <v>28</v>
      </c>
      <c r="N255" t="s">
        <v>1620</v>
      </c>
      <c r="O255" t="s">
        <v>30</v>
      </c>
      <c r="P255" t="s">
        <v>197</v>
      </c>
      <c r="Q255" t="s">
        <v>834</v>
      </c>
      <c r="R255" t="s">
        <v>1621</v>
      </c>
      <c r="S255">
        <v>4</v>
      </c>
      <c r="T255" s="2">
        <v>0.3</v>
      </c>
      <c r="U255" t="s">
        <v>1622</v>
      </c>
    </row>
    <row r="256" spans="1:21">
      <c r="A256">
        <v>501</v>
      </c>
      <c r="B256" t="s">
        <v>1623</v>
      </c>
      <c r="C256" s="1">
        <v>45028</v>
      </c>
      <c r="D256" s="1">
        <v>45032</v>
      </c>
      <c r="E256" t="s">
        <v>49</v>
      </c>
      <c r="F256" t="s">
        <v>1624</v>
      </c>
      <c r="G256" t="s">
        <v>1625</v>
      </c>
      <c r="H256" t="s">
        <v>60</v>
      </c>
      <c r="I256" t="s">
        <v>26</v>
      </c>
      <c r="J256" t="s">
        <v>641</v>
      </c>
      <c r="K256" t="s">
        <v>641</v>
      </c>
      <c r="L256">
        <v>65186</v>
      </c>
      <c r="M256" t="s">
        <v>62</v>
      </c>
      <c r="N256" t="s">
        <v>678</v>
      </c>
      <c r="O256" t="s">
        <v>64</v>
      </c>
      <c r="P256" t="s">
        <v>65</v>
      </c>
      <c r="Q256" t="s">
        <v>275</v>
      </c>
      <c r="R256" t="s">
        <v>1626</v>
      </c>
      <c r="S256">
        <v>6</v>
      </c>
      <c r="T256" s="2">
        <v>0.15</v>
      </c>
      <c r="U256" t="s">
        <v>1627</v>
      </c>
    </row>
    <row r="257" spans="1:21">
      <c r="A257">
        <v>207</v>
      </c>
      <c r="B257" t="s">
        <v>1628</v>
      </c>
      <c r="C257" s="1">
        <v>45032</v>
      </c>
      <c r="D257" s="1">
        <v>45035</v>
      </c>
      <c r="E257" t="s">
        <v>36</v>
      </c>
      <c r="F257" t="s">
        <v>1629</v>
      </c>
      <c r="G257" t="s">
        <v>418</v>
      </c>
      <c r="H257" t="s">
        <v>25</v>
      </c>
      <c r="I257" t="s">
        <v>26</v>
      </c>
      <c r="J257" t="s">
        <v>363</v>
      </c>
      <c r="K257" t="s">
        <v>363</v>
      </c>
      <c r="L257">
        <v>74925</v>
      </c>
      <c r="M257" t="s">
        <v>62</v>
      </c>
      <c r="N257" t="s">
        <v>1630</v>
      </c>
      <c r="O257" t="s">
        <v>43</v>
      </c>
      <c r="P257" t="s">
        <v>189</v>
      </c>
      <c r="Q257" t="s">
        <v>1631</v>
      </c>
      <c r="R257" t="s">
        <v>1632</v>
      </c>
      <c r="S257">
        <v>4</v>
      </c>
      <c r="T257" s="2">
        <v>0.05</v>
      </c>
      <c r="U257" t="s">
        <v>1633</v>
      </c>
    </row>
    <row r="258" spans="1:21">
      <c r="A258">
        <v>324</v>
      </c>
      <c r="B258" t="s">
        <v>1634</v>
      </c>
      <c r="C258" s="1">
        <v>45033</v>
      </c>
      <c r="D258" s="1">
        <v>45037</v>
      </c>
      <c r="E258" t="s">
        <v>36</v>
      </c>
      <c r="F258" t="s">
        <v>1635</v>
      </c>
      <c r="G258" t="s">
        <v>492</v>
      </c>
      <c r="H258" t="s">
        <v>39</v>
      </c>
      <c r="I258" t="s">
        <v>26</v>
      </c>
      <c r="J258" t="s">
        <v>245</v>
      </c>
      <c r="K258" t="s">
        <v>245</v>
      </c>
      <c r="L258">
        <v>40825</v>
      </c>
      <c r="M258" t="s">
        <v>41</v>
      </c>
      <c r="N258" t="s">
        <v>1636</v>
      </c>
      <c r="O258" t="s">
        <v>64</v>
      </c>
      <c r="P258" t="s">
        <v>136</v>
      </c>
      <c r="Q258" t="s">
        <v>1637</v>
      </c>
      <c r="R258" t="s">
        <v>1638</v>
      </c>
      <c r="S258">
        <v>2</v>
      </c>
      <c r="T258" s="2">
        <v>0</v>
      </c>
      <c r="U258" t="s">
        <v>1639</v>
      </c>
    </row>
    <row r="259" spans="1:21">
      <c r="A259">
        <v>568</v>
      </c>
      <c r="B259" t="s">
        <v>1640</v>
      </c>
      <c r="C259" s="1">
        <v>45039</v>
      </c>
      <c r="D259" s="1">
        <v>45040</v>
      </c>
      <c r="E259" t="s">
        <v>36</v>
      </c>
      <c r="F259" t="s">
        <v>654</v>
      </c>
      <c r="G259" t="s">
        <v>478</v>
      </c>
      <c r="H259" t="s">
        <v>25</v>
      </c>
      <c r="I259" t="s">
        <v>26</v>
      </c>
      <c r="J259" t="s">
        <v>61</v>
      </c>
      <c r="K259" t="s">
        <v>61</v>
      </c>
      <c r="L259">
        <v>81725</v>
      </c>
      <c r="M259" t="s">
        <v>62</v>
      </c>
      <c r="N259" t="s">
        <v>1641</v>
      </c>
      <c r="O259" t="s">
        <v>30</v>
      </c>
      <c r="P259" t="s">
        <v>197</v>
      </c>
      <c r="Q259" t="s">
        <v>846</v>
      </c>
      <c r="R259" t="s">
        <v>1642</v>
      </c>
      <c r="S259">
        <v>2</v>
      </c>
      <c r="T259" s="2">
        <v>0.4</v>
      </c>
      <c r="U259" t="s">
        <v>1643</v>
      </c>
    </row>
    <row r="260" spans="1:21">
      <c r="A260">
        <v>342</v>
      </c>
      <c r="B260" t="s">
        <v>1644</v>
      </c>
      <c r="C260" s="1">
        <v>45040</v>
      </c>
      <c r="D260" s="1">
        <v>45043</v>
      </c>
      <c r="E260" t="s">
        <v>36</v>
      </c>
      <c r="F260" t="s">
        <v>1645</v>
      </c>
      <c r="G260" t="s">
        <v>203</v>
      </c>
      <c r="H260" t="s">
        <v>39</v>
      </c>
      <c r="I260" t="s">
        <v>26</v>
      </c>
      <c r="J260" t="s">
        <v>438</v>
      </c>
      <c r="K260" t="s">
        <v>438</v>
      </c>
      <c r="L260">
        <v>64144</v>
      </c>
      <c r="M260" t="s">
        <v>28</v>
      </c>
      <c r="N260" t="s">
        <v>1646</v>
      </c>
      <c r="O260" t="s">
        <v>43</v>
      </c>
      <c r="P260" t="s">
        <v>166</v>
      </c>
      <c r="Q260" t="s">
        <v>1647</v>
      </c>
      <c r="R260" t="s">
        <v>1648</v>
      </c>
      <c r="S260">
        <v>3</v>
      </c>
      <c r="T260" s="2">
        <v>0.15</v>
      </c>
      <c r="U260" t="s">
        <v>1649</v>
      </c>
    </row>
    <row r="261" spans="1:21">
      <c r="A261">
        <v>145</v>
      </c>
      <c r="B261" t="s">
        <v>1650</v>
      </c>
      <c r="C261" s="1">
        <v>45043</v>
      </c>
      <c r="D261" s="1">
        <v>45048</v>
      </c>
      <c r="E261" t="s">
        <v>36</v>
      </c>
      <c r="F261" t="s">
        <v>1651</v>
      </c>
      <c r="G261" t="s">
        <v>1025</v>
      </c>
      <c r="H261" t="s">
        <v>25</v>
      </c>
      <c r="I261" t="s">
        <v>26</v>
      </c>
      <c r="J261" t="s">
        <v>301</v>
      </c>
      <c r="K261" t="s">
        <v>301</v>
      </c>
      <c r="L261">
        <v>71944</v>
      </c>
      <c r="M261" t="s">
        <v>73</v>
      </c>
      <c r="N261" t="s">
        <v>1652</v>
      </c>
      <c r="O261" t="s">
        <v>30</v>
      </c>
      <c r="P261" t="s">
        <v>222</v>
      </c>
      <c r="Q261" t="s">
        <v>818</v>
      </c>
      <c r="R261" t="s">
        <v>1653</v>
      </c>
      <c r="S261">
        <v>7</v>
      </c>
      <c r="T261" s="2">
        <v>0.2</v>
      </c>
      <c r="U261" t="s">
        <v>1654</v>
      </c>
    </row>
    <row r="262" spans="1:21">
      <c r="A262">
        <v>109</v>
      </c>
      <c r="B262" t="s">
        <v>1655</v>
      </c>
      <c r="C262" s="1">
        <v>45043</v>
      </c>
      <c r="D262" s="1">
        <v>45044</v>
      </c>
      <c r="E262" t="s">
        <v>49</v>
      </c>
      <c r="F262" t="s">
        <v>1656</v>
      </c>
      <c r="G262" t="s">
        <v>1657</v>
      </c>
      <c r="H262" t="s">
        <v>25</v>
      </c>
      <c r="I262" t="s">
        <v>26</v>
      </c>
      <c r="J262" t="s">
        <v>641</v>
      </c>
      <c r="K262" t="s">
        <v>641</v>
      </c>
      <c r="L262">
        <v>87866</v>
      </c>
      <c r="M262" t="s">
        <v>62</v>
      </c>
      <c r="N262" t="s">
        <v>63</v>
      </c>
      <c r="O262" t="s">
        <v>43</v>
      </c>
      <c r="P262" t="s">
        <v>83</v>
      </c>
      <c r="Q262" t="s">
        <v>1658</v>
      </c>
      <c r="R262" t="s">
        <v>1659</v>
      </c>
      <c r="S262">
        <v>4</v>
      </c>
      <c r="T262" s="2">
        <v>0.3</v>
      </c>
      <c r="U262" t="s">
        <v>1660</v>
      </c>
    </row>
    <row r="263" spans="1:21">
      <c r="A263">
        <v>158</v>
      </c>
      <c r="B263" t="s">
        <v>1661</v>
      </c>
      <c r="C263" s="1">
        <v>45044</v>
      </c>
      <c r="D263" s="1">
        <v>45046</v>
      </c>
      <c r="E263" t="s">
        <v>49</v>
      </c>
      <c r="F263" t="s">
        <v>1662</v>
      </c>
      <c r="G263" t="s">
        <v>707</v>
      </c>
      <c r="H263" t="s">
        <v>39</v>
      </c>
      <c r="I263" t="s">
        <v>26</v>
      </c>
      <c r="J263" t="s">
        <v>81</v>
      </c>
      <c r="K263" t="s">
        <v>81</v>
      </c>
      <c r="L263">
        <v>90388</v>
      </c>
      <c r="M263" t="s">
        <v>62</v>
      </c>
      <c r="N263" t="s">
        <v>1663</v>
      </c>
      <c r="O263" t="s">
        <v>43</v>
      </c>
      <c r="P263" t="s">
        <v>166</v>
      </c>
      <c r="Q263" t="s">
        <v>392</v>
      </c>
      <c r="R263" t="s">
        <v>1664</v>
      </c>
      <c r="S263">
        <v>1</v>
      </c>
      <c r="T263" s="2">
        <v>0.3</v>
      </c>
      <c r="U263" t="s">
        <v>1665</v>
      </c>
    </row>
    <row r="264" spans="1:21">
      <c r="A264">
        <v>215</v>
      </c>
      <c r="B264" t="s">
        <v>1666</v>
      </c>
      <c r="C264" s="1">
        <v>45046</v>
      </c>
      <c r="D264" s="1">
        <v>45048</v>
      </c>
      <c r="E264" t="s">
        <v>36</v>
      </c>
      <c r="F264" t="s">
        <v>1667</v>
      </c>
      <c r="G264" t="s">
        <v>1253</v>
      </c>
      <c r="H264" t="s">
        <v>39</v>
      </c>
      <c r="I264" t="s">
        <v>26</v>
      </c>
      <c r="J264" t="s">
        <v>212</v>
      </c>
      <c r="K264" t="s">
        <v>212</v>
      </c>
      <c r="L264">
        <v>66233</v>
      </c>
      <c r="M264" t="s">
        <v>28</v>
      </c>
      <c r="N264" t="s">
        <v>1515</v>
      </c>
      <c r="O264" t="s">
        <v>64</v>
      </c>
      <c r="P264" t="s">
        <v>405</v>
      </c>
      <c r="Q264" t="s">
        <v>1668</v>
      </c>
      <c r="R264" t="s">
        <v>1669</v>
      </c>
      <c r="S264">
        <v>7</v>
      </c>
      <c r="T264" s="2">
        <v>0.2</v>
      </c>
      <c r="U264" t="s">
        <v>1670</v>
      </c>
    </row>
    <row r="265" spans="1:21">
      <c r="A265">
        <v>233</v>
      </c>
      <c r="B265" t="s">
        <v>1671</v>
      </c>
      <c r="C265" s="1">
        <v>45047</v>
      </c>
      <c r="D265" s="1">
        <v>45049</v>
      </c>
      <c r="E265" t="s">
        <v>36</v>
      </c>
      <c r="F265" t="s">
        <v>457</v>
      </c>
      <c r="G265" t="s">
        <v>882</v>
      </c>
      <c r="H265" t="s">
        <v>60</v>
      </c>
      <c r="I265" t="s">
        <v>26</v>
      </c>
      <c r="J265" t="s">
        <v>204</v>
      </c>
      <c r="K265" t="s">
        <v>204</v>
      </c>
      <c r="L265">
        <v>19018</v>
      </c>
      <c r="M265" t="s">
        <v>28</v>
      </c>
      <c r="N265" t="s">
        <v>1077</v>
      </c>
      <c r="O265" t="s">
        <v>30</v>
      </c>
      <c r="P265" t="s">
        <v>197</v>
      </c>
      <c r="Q265" t="s">
        <v>806</v>
      </c>
      <c r="R265" t="s">
        <v>1672</v>
      </c>
      <c r="S265">
        <v>5</v>
      </c>
      <c r="T265" s="2">
        <v>0.15</v>
      </c>
      <c r="U265" t="s">
        <v>1673</v>
      </c>
    </row>
    <row r="266" spans="1:21">
      <c r="A266">
        <v>320</v>
      </c>
      <c r="B266" t="s">
        <v>1674</v>
      </c>
      <c r="C266" s="1">
        <v>45048</v>
      </c>
      <c r="D266" s="1">
        <v>45051</v>
      </c>
      <c r="E266" t="s">
        <v>36</v>
      </c>
      <c r="F266" t="s">
        <v>1675</v>
      </c>
      <c r="G266" t="s">
        <v>336</v>
      </c>
      <c r="H266" t="s">
        <v>25</v>
      </c>
      <c r="I266" t="s">
        <v>26</v>
      </c>
      <c r="J266" t="s">
        <v>438</v>
      </c>
      <c r="K266" t="s">
        <v>438</v>
      </c>
      <c r="L266">
        <v>59549</v>
      </c>
      <c r="M266" t="s">
        <v>28</v>
      </c>
      <c r="N266" t="s">
        <v>1676</v>
      </c>
      <c r="O266" t="s">
        <v>43</v>
      </c>
      <c r="P266" t="s">
        <v>214</v>
      </c>
      <c r="Q266" t="s">
        <v>893</v>
      </c>
      <c r="R266" t="s">
        <v>176</v>
      </c>
      <c r="S266">
        <v>5</v>
      </c>
      <c r="T266" s="2">
        <v>0.1</v>
      </c>
      <c r="U266" t="s">
        <v>1677</v>
      </c>
    </row>
    <row r="267" spans="1:21">
      <c r="A267">
        <v>486</v>
      </c>
      <c r="B267" t="s">
        <v>1678</v>
      </c>
      <c r="C267" s="1">
        <v>45051</v>
      </c>
      <c r="D267" s="1">
        <v>45057</v>
      </c>
      <c r="E267" t="s">
        <v>49</v>
      </c>
      <c r="F267" t="s">
        <v>1679</v>
      </c>
      <c r="G267" t="s">
        <v>700</v>
      </c>
      <c r="H267" t="s">
        <v>60</v>
      </c>
      <c r="I267" t="s">
        <v>26</v>
      </c>
      <c r="J267" t="s">
        <v>72</v>
      </c>
      <c r="K267" t="s">
        <v>72</v>
      </c>
      <c r="L267">
        <v>94821</v>
      </c>
      <c r="M267" t="s">
        <v>73</v>
      </c>
      <c r="N267" t="s">
        <v>684</v>
      </c>
      <c r="O267" t="s">
        <v>64</v>
      </c>
      <c r="P267" t="s">
        <v>136</v>
      </c>
      <c r="Q267" t="s">
        <v>1680</v>
      </c>
      <c r="R267" t="s">
        <v>1681</v>
      </c>
      <c r="S267">
        <v>1</v>
      </c>
      <c r="T267" s="2">
        <v>0.2</v>
      </c>
      <c r="U267" t="s">
        <v>1682</v>
      </c>
    </row>
    <row r="268" spans="1:21">
      <c r="A268">
        <v>378</v>
      </c>
      <c r="B268" t="s">
        <v>1683</v>
      </c>
      <c r="C268" s="1">
        <v>45052</v>
      </c>
      <c r="D268" s="1">
        <v>45056</v>
      </c>
      <c r="E268" t="s">
        <v>382</v>
      </c>
      <c r="F268" t="s">
        <v>1684</v>
      </c>
      <c r="G268" t="s">
        <v>1685</v>
      </c>
      <c r="H268" t="s">
        <v>25</v>
      </c>
      <c r="I268" t="s">
        <v>26</v>
      </c>
      <c r="J268" t="s">
        <v>27</v>
      </c>
      <c r="K268" t="s">
        <v>27</v>
      </c>
      <c r="L268">
        <v>50927</v>
      </c>
      <c r="M268" t="s">
        <v>28</v>
      </c>
      <c r="N268" t="s">
        <v>1469</v>
      </c>
      <c r="O268" t="s">
        <v>43</v>
      </c>
      <c r="P268" t="s">
        <v>128</v>
      </c>
      <c r="Q268" t="s">
        <v>615</v>
      </c>
      <c r="R268" t="s">
        <v>1686</v>
      </c>
      <c r="S268">
        <v>3</v>
      </c>
      <c r="T268" s="2">
        <v>0.1</v>
      </c>
      <c r="U268" t="s">
        <v>1687</v>
      </c>
    </row>
    <row r="269" spans="1:21">
      <c r="A269">
        <v>506</v>
      </c>
      <c r="B269" t="s">
        <v>1688</v>
      </c>
      <c r="C269" s="1">
        <v>45052</v>
      </c>
      <c r="D269" s="1">
        <v>45054</v>
      </c>
      <c r="E269" t="s">
        <v>49</v>
      </c>
      <c r="F269" t="s">
        <v>1689</v>
      </c>
      <c r="G269" t="s">
        <v>1154</v>
      </c>
      <c r="H269" t="s">
        <v>25</v>
      </c>
      <c r="I269" t="s">
        <v>26</v>
      </c>
      <c r="J269" t="s">
        <v>641</v>
      </c>
      <c r="K269" t="s">
        <v>641</v>
      </c>
      <c r="L269">
        <v>96928</v>
      </c>
      <c r="M269" t="s">
        <v>62</v>
      </c>
      <c r="N269" t="s">
        <v>1690</v>
      </c>
      <c r="O269" t="s">
        <v>30</v>
      </c>
      <c r="P269" t="s">
        <v>197</v>
      </c>
      <c r="Q269" t="s">
        <v>198</v>
      </c>
      <c r="R269" t="s">
        <v>1691</v>
      </c>
      <c r="S269">
        <v>3</v>
      </c>
      <c r="T269" s="2">
        <v>0.2</v>
      </c>
      <c r="U269" t="s">
        <v>1692</v>
      </c>
    </row>
    <row r="270" spans="1:21">
      <c r="A270">
        <v>361</v>
      </c>
      <c r="B270" t="s">
        <v>1693</v>
      </c>
      <c r="C270" s="1">
        <v>45053</v>
      </c>
      <c r="D270" s="1">
        <v>45056</v>
      </c>
      <c r="E270" t="s">
        <v>49</v>
      </c>
      <c r="F270" t="s">
        <v>1694</v>
      </c>
      <c r="G270" t="s">
        <v>1446</v>
      </c>
      <c r="H270" t="s">
        <v>25</v>
      </c>
      <c r="I270" t="s">
        <v>26</v>
      </c>
      <c r="J270" t="s">
        <v>81</v>
      </c>
      <c r="K270" t="s">
        <v>81</v>
      </c>
      <c r="L270">
        <v>99317</v>
      </c>
      <c r="M270" t="s">
        <v>62</v>
      </c>
      <c r="N270" t="s">
        <v>1695</v>
      </c>
      <c r="O270" t="s">
        <v>30</v>
      </c>
      <c r="P270" t="s">
        <v>197</v>
      </c>
      <c r="Q270" t="s">
        <v>1696</v>
      </c>
      <c r="R270" t="s">
        <v>1697</v>
      </c>
      <c r="S270">
        <v>4</v>
      </c>
      <c r="T270" s="2">
        <v>0.15</v>
      </c>
      <c r="U270" t="s">
        <v>1698</v>
      </c>
    </row>
    <row r="271" spans="1:21">
      <c r="A271">
        <v>80</v>
      </c>
      <c r="B271" t="s">
        <v>1699</v>
      </c>
      <c r="C271" s="1">
        <v>45053</v>
      </c>
      <c r="D271" s="1">
        <v>45056</v>
      </c>
      <c r="E271" t="s">
        <v>49</v>
      </c>
      <c r="F271" t="s">
        <v>1700</v>
      </c>
      <c r="G271" t="s">
        <v>640</v>
      </c>
      <c r="H271" t="s">
        <v>60</v>
      </c>
      <c r="I271" t="s">
        <v>26</v>
      </c>
      <c r="J271" t="s">
        <v>96</v>
      </c>
      <c r="K271" t="s">
        <v>96</v>
      </c>
      <c r="L271">
        <v>25251</v>
      </c>
      <c r="M271" t="s">
        <v>28</v>
      </c>
      <c r="N271" t="s">
        <v>1332</v>
      </c>
      <c r="O271" t="s">
        <v>30</v>
      </c>
      <c r="P271" t="s">
        <v>31</v>
      </c>
      <c r="Q271" t="s">
        <v>1701</v>
      </c>
      <c r="R271" t="s">
        <v>1702</v>
      </c>
      <c r="S271">
        <v>4</v>
      </c>
      <c r="T271" s="2">
        <v>0</v>
      </c>
      <c r="U271" t="s">
        <v>1703</v>
      </c>
    </row>
    <row r="272" spans="1:21">
      <c r="A272">
        <v>95</v>
      </c>
      <c r="B272" t="s">
        <v>1704</v>
      </c>
      <c r="C272" s="1">
        <v>45055</v>
      </c>
      <c r="D272" s="1">
        <v>45060</v>
      </c>
      <c r="E272" t="s">
        <v>36</v>
      </c>
      <c r="F272" t="s">
        <v>1705</v>
      </c>
      <c r="G272" t="s">
        <v>882</v>
      </c>
      <c r="H272" t="s">
        <v>60</v>
      </c>
      <c r="I272" t="s">
        <v>26</v>
      </c>
      <c r="J272" t="s">
        <v>237</v>
      </c>
      <c r="K272" t="s">
        <v>237</v>
      </c>
      <c r="L272">
        <v>19108</v>
      </c>
      <c r="M272" t="s">
        <v>41</v>
      </c>
      <c r="N272" t="s">
        <v>1706</v>
      </c>
      <c r="O272" t="s">
        <v>64</v>
      </c>
      <c r="P272" t="s">
        <v>136</v>
      </c>
      <c r="Q272" t="s">
        <v>1707</v>
      </c>
      <c r="R272" t="s">
        <v>1708</v>
      </c>
      <c r="S272">
        <v>1</v>
      </c>
      <c r="T272" s="2">
        <v>0.1</v>
      </c>
      <c r="U272" t="s">
        <v>1709</v>
      </c>
    </row>
    <row r="273" spans="1:21">
      <c r="A273">
        <v>419</v>
      </c>
      <c r="B273" t="s">
        <v>1710</v>
      </c>
      <c r="C273" s="1">
        <v>45060</v>
      </c>
      <c r="D273" s="1">
        <v>45063</v>
      </c>
      <c r="E273" t="s">
        <v>36</v>
      </c>
      <c r="F273" t="s">
        <v>1711</v>
      </c>
      <c r="G273" t="s">
        <v>236</v>
      </c>
      <c r="H273" t="s">
        <v>25</v>
      </c>
      <c r="I273" t="s">
        <v>26</v>
      </c>
      <c r="J273" t="s">
        <v>260</v>
      </c>
      <c r="K273" t="s">
        <v>260</v>
      </c>
      <c r="L273">
        <v>22336</v>
      </c>
      <c r="M273" t="s">
        <v>41</v>
      </c>
      <c r="N273" t="s">
        <v>1712</v>
      </c>
      <c r="O273" t="s">
        <v>30</v>
      </c>
      <c r="P273" t="s">
        <v>120</v>
      </c>
      <c r="Q273" t="s">
        <v>1099</v>
      </c>
      <c r="R273" t="s">
        <v>1713</v>
      </c>
      <c r="S273">
        <v>1</v>
      </c>
      <c r="T273" s="2">
        <v>0.1</v>
      </c>
      <c r="U273" t="s">
        <v>1714</v>
      </c>
    </row>
    <row r="274" spans="1:21">
      <c r="A274">
        <v>312</v>
      </c>
      <c r="B274" t="s">
        <v>1715</v>
      </c>
      <c r="C274" s="1">
        <v>45062</v>
      </c>
      <c r="D274" s="1">
        <v>45065</v>
      </c>
      <c r="E274" t="s">
        <v>382</v>
      </c>
      <c r="F274" t="s">
        <v>1716</v>
      </c>
      <c r="G274" t="s">
        <v>511</v>
      </c>
      <c r="H274" t="s">
        <v>25</v>
      </c>
      <c r="I274" t="s">
        <v>26</v>
      </c>
      <c r="J274" t="s">
        <v>237</v>
      </c>
      <c r="K274" t="s">
        <v>237</v>
      </c>
      <c r="L274">
        <v>89737</v>
      </c>
      <c r="M274" t="s">
        <v>41</v>
      </c>
      <c r="N274" t="s">
        <v>1717</v>
      </c>
      <c r="O274" t="s">
        <v>43</v>
      </c>
      <c r="P274" t="s">
        <v>44</v>
      </c>
      <c r="Q274" t="s">
        <v>500</v>
      </c>
      <c r="R274" t="s">
        <v>1718</v>
      </c>
      <c r="S274">
        <v>3</v>
      </c>
      <c r="T274" s="2">
        <v>0.4</v>
      </c>
      <c r="U274" t="s">
        <v>1719</v>
      </c>
    </row>
    <row r="275" spans="1:21">
      <c r="A275">
        <v>33</v>
      </c>
      <c r="B275" t="s">
        <v>1720</v>
      </c>
      <c r="C275" s="1">
        <v>45063</v>
      </c>
      <c r="D275" s="1">
        <v>45064</v>
      </c>
      <c r="E275" t="s">
        <v>36</v>
      </c>
      <c r="F275" t="s">
        <v>1721</v>
      </c>
      <c r="G275" t="s">
        <v>1722</v>
      </c>
      <c r="H275" t="s">
        <v>39</v>
      </c>
      <c r="I275" t="s">
        <v>26</v>
      </c>
      <c r="J275" t="s">
        <v>150</v>
      </c>
      <c r="K275" t="s">
        <v>150</v>
      </c>
      <c r="L275">
        <v>68141</v>
      </c>
      <c r="M275" t="s">
        <v>73</v>
      </c>
      <c r="N275" t="s">
        <v>1723</v>
      </c>
      <c r="O275" t="s">
        <v>43</v>
      </c>
      <c r="P275" t="s">
        <v>83</v>
      </c>
      <c r="Q275" t="s">
        <v>1065</v>
      </c>
      <c r="R275" t="s">
        <v>1724</v>
      </c>
      <c r="S275">
        <v>5</v>
      </c>
      <c r="T275" s="2">
        <v>0.4</v>
      </c>
      <c r="U275" t="s">
        <v>1725</v>
      </c>
    </row>
    <row r="276" spans="1:21">
      <c r="A276">
        <v>364</v>
      </c>
      <c r="B276" t="s">
        <v>1726</v>
      </c>
      <c r="C276" s="1">
        <v>45063</v>
      </c>
      <c r="D276" s="1">
        <v>45065</v>
      </c>
      <c r="E276" t="s">
        <v>49</v>
      </c>
      <c r="F276" t="s">
        <v>1727</v>
      </c>
      <c r="G276" t="s">
        <v>1446</v>
      </c>
      <c r="H276" t="s">
        <v>25</v>
      </c>
      <c r="I276" t="s">
        <v>26</v>
      </c>
      <c r="J276" t="s">
        <v>212</v>
      </c>
      <c r="K276" t="s">
        <v>212</v>
      </c>
      <c r="L276">
        <v>27948</v>
      </c>
      <c r="M276" t="s">
        <v>28</v>
      </c>
      <c r="N276" t="s">
        <v>1728</v>
      </c>
      <c r="O276" t="s">
        <v>30</v>
      </c>
      <c r="P276" t="s">
        <v>31</v>
      </c>
      <c r="Q276" t="s">
        <v>1729</v>
      </c>
      <c r="R276" t="s">
        <v>1730</v>
      </c>
      <c r="S276">
        <v>4</v>
      </c>
      <c r="T276" s="2">
        <v>0</v>
      </c>
      <c r="U276" t="s">
        <v>1731</v>
      </c>
    </row>
    <row r="277" spans="1:21">
      <c r="A277">
        <v>351</v>
      </c>
      <c r="B277" t="s">
        <v>1732</v>
      </c>
      <c r="C277" s="1">
        <v>45064</v>
      </c>
      <c r="D277" s="1">
        <v>45067</v>
      </c>
      <c r="E277" t="s">
        <v>36</v>
      </c>
      <c r="F277" t="s">
        <v>1733</v>
      </c>
      <c r="G277" t="s">
        <v>594</v>
      </c>
      <c r="H277" t="s">
        <v>60</v>
      </c>
      <c r="I277" t="s">
        <v>26</v>
      </c>
      <c r="J277" t="s">
        <v>81</v>
      </c>
      <c r="K277" t="s">
        <v>81</v>
      </c>
      <c r="L277">
        <v>21826</v>
      </c>
      <c r="M277" t="s">
        <v>62</v>
      </c>
      <c r="N277" t="s">
        <v>1734</v>
      </c>
      <c r="O277" t="s">
        <v>30</v>
      </c>
      <c r="P277" t="s">
        <v>197</v>
      </c>
      <c r="Q277" t="s">
        <v>806</v>
      </c>
      <c r="R277" t="s">
        <v>1735</v>
      </c>
      <c r="S277">
        <v>6</v>
      </c>
      <c r="T277" s="2">
        <v>0.3</v>
      </c>
      <c r="U277" t="s">
        <v>1736</v>
      </c>
    </row>
    <row r="278" spans="1:21">
      <c r="A278">
        <v>189</v>
      </c>
      <c r="B278" t="s">
        <v>1737</v>
      </c>
      <c r="C278" s="1">
        <v>45065</v>
      </c>
      <c r="D278" s="1">
        <v>45069</v>
      </c>
      <c r="E278" t="s">
        <v>36</v>
      </c>
      <c r="F278" t="s">
        <v>1738</v>
      </c>
      <c r="G278" t="s">
        <v>869</v>
      </c>
      <c r="H278" t="s">
        <v>25</v>
      </c>
      <c r="I278" t="s">
        <v>26</v>
      </c>
      <c r="J278" t="s">
        <v>81</v>
      </c>
      <c r="K278" t="s">
        <v>81</v>
      </c>
      <c r="L278">
        <v>37128</v>
      </c>
      <c r="M278" t="s">
        <v>62</v>
      </c>
      <c r="N278" t="s">
        <v>1739</v>
      </c>
      <c r="O278" t="s">
        <v>43</v>
      </c>
      <c r="P278" t="s">
        <v>214</v>
      </c>
      <c r="Q278" t="s">
        <v>589</v>
      </c>
      <c r="R278" t="s">
        <v>1740</v>
      </c>
      <c r="S278">
        <v>3</v>
      </c>
      <c r="T278" s="2">
        <v>0.1</v>
      </c>
      <c r="U278" t="s">
        <v>1741</v>
      </c>
    </row>
    <row r="279" spans="1:21">
      <c r="A279">
        <v>45</v>
      </c>
      <c r="B279" t="s">
        <v>1742</v>
      </c>
      <c r="C279" s="1">
        <v>45065</v>
      </c>
      <c r="D279" s="1">
        <v>45069</v>
      </c>
      <c r="E279" t="s">
        <v>36</v>
      </c>
      <c r="F279" t="s">
        <v>1743</v>
      </c>
      <c r="G279" t="s">
        <v>1744</v>
      </c>
      <c r="H279" t="s">
        <v>39</v>
      </c>
      <c r="I279" t="s">
        <v>26</v>
      </c>
      <c r="J279" t="s">
        <v>363</v>
      </c>
      <c r="K279" t="s">
        <v>363</v>
      </c>
      <c r="L279">
        <v>77584</v>
      </c>
      <c r="M279" t="s">
        <v>62</v>
      </c>
      <c r="N279" t="s">
        <v>74</v>
      </c>
      <c r="O279" t="s">
        <v>64</v>
      </c>
      <c r="P279" t="s">
        <v>405</v>
      </c>
      <c r="Q279" t="s">
        <v>745</v>
      </c>
      <c r="R279" t="s">
        <v>1745</v>
      </c>
      <c r="S279">
        <v>6</v>
      </c>
      <c r="T279" s="2">
        <v>0.5</v>
      </c>
      <c r="U279" t="s">
        <v>1746</v>
      </c>
    </row>
    <row r="280" spans="1:21">
      <c r="A280">
        <v>265</v>
      </c>
      <c r="B280" t="s">
        <v>1747</v>
      </c>
      <c r="C280" s="1">
        <v>45066</v>
      </c>
      <c r="D280" s="1">
        <v>45068</v>
      </c>
      <c r="E280" t="s">
        <v>36</v>
      </c>
      <c r="F280" t="s">
        <v>1748</v>
      </c>
      <c r="G280" t="s">
        <v>172</v>
      </c>
      <c r="H280" t="s">
        <v>25</v>
      </c>
      <c r="I280" t="s">
        <v>26</v>
      </c>
      <c r="J280" t="s">
        <v>96</v>
      </c>
      <c r="K280" t="s">
        <v>96</v>
      </c>
      <c r="L280">
        <v>29053</v>
      </c>
      <c r="M280" t="s">
        <v>28</v>
      </c>
      <c r="N280" t="s">
        <v>1749</v>
      </c>
      <c r="O280" t="s">
        <v>43</v>
      </c>
      <c r="P280" t="s">
        <v>128</v>
      </c>
      <c r="Q280" t="s">
        <v>175</v>
      </c>
      <c r="R280" t="s">
        <v>1750</v>
      </c>
      <c r="S280">
        <v>1</v>
      </c>
      <c r="T280" s="2">
        <v>0.5</v>
      </c>
      <c r="U280" t="s">
        <v>1751</v>
      </c>
    </row>
    <row r="281" spans="1:21">
      <c r="A281">
        <v>385</v>
      </c>
      <c r="B281" t="s">
        <v>1752</v>
      </c>
      <c r="C281" s="1">
        <v>45067</v>
      </c>
      <c r="D281" s="1">
        <v>45071</v>
      </c>
      <c r="E281" t="s">
        <v>36</v>
      </c>
      <c r="F281" t="s">
        <v>1753</v>
      </c>
      <c r="G281" t="s">
        <v>757</v>
      </c>
      <c r="H281" t="s">
        <v>39</v>
      </c>
      <c r="I281" t="s">
        <v>26</v>
      </c>
      <c r="J281" t="s">
        <v>173</v>
      </c>
      <c r="K281" t="s">
        <v>173</v>
      </c>
      <c r="L281">
        <v>60715</v>
      </c>
      <c r="M281" t="s">
        <v>73</v>
      </c>
      <c r="N281" t="s">
        <v>1480</v>
      </c>
      <c r="O281" t="s">
        <v>30</v>
      </c>
      <c r="P281" t="s">
        <v>31</v>
      </c>
      <c r="Q281" t="s">
        <v>1521</v>
      </c>
      <c r="R281" t="s">
        <v>1754</v>
      </c>
      <c r="S281">
        <v>5</v>
      </c>
      <c r="T281" s="2">
        <v>0.3</v>
      </c>
      <c r="U281" t="s">
        <v>1755</v>
      </c>
    </row>
    <row r="282" spans="1:21">
      <c r="A282">
        <v>372</v>
      </c>
      <c r="B282" t="s">
        <v>1756</v>
      </c>
      <c r="C282" s="1">
        <v>45067</v>
      </c>
      <c r="D282" s="1">
        <v>45072</v>
      </c>
      <c r="E282" t="s">
        <v>49</v>
      </c>
      <c r="F282" t="s">
        <v>1757</v>
      </c>
      <c r="G282" t="s">
        <v>1758</v>
      </c>
      <c r="H282" t="s">
        <v>60</v>
      </c>
      <c r="I282" t="s">
        <v>26</v>
      </c>
      <c r="J282" t="s">
        <v>61</v>
      </c>
      <c r="K282" t="s">
        <v>61</v>
      </c>
      <c r="L282">
        <v>82069</v>
      </c>
      <c r="M282" t="s">
        <v>62</v>
      </c>
      <c r="N282" t="s">
        <v>1759</v>
      </c>
      <c r="O282" t="s">
        <v>64</v>
      </c>
      <c r="P282" t="s">
        <v>65</v>
      </c>
      <c r="Q282" t="s">
        <v>1454</v>
      </c>
      <c r="R282" t="s">
        <v>1760</v>
      </c>
      <c r="S282">
        <v>2</v>
      </c>
      <c r="T282" s="2">
        <v>0.1</v>
      </c>
      <c r="U282" t="s">
        <v>1761</v>
      </c>
    </row>
    <row r="283" spans="1:21">
      <c r="A283">
        <v>366</v>
      </c>
      <c r="B283" t="s">
        <v>1762</v>
      </c>
      <c r="C283" s="1">
        <v>45067</v>
      </c>
      <c r="D283" s="1">
        <v>45071</v>
      </c>
      <c r="E283" t="s">
        <v>382</v>
      </c>
      <c r="F283" t="s">
        <v>1763</v>
      </c>
      <c r="G283" t="s">
        <v>24</v>
      </c>
      <c r="H283" t="s">
        <v>25</v>
      </c>
      <c r="I283" t="s">
        <v>26</v>
      </c>
      <c r="J283" t="s">
        <v>641</v>
      </c>
      <c r="K283" t="s">
        <v>641</v>
      </c>
      <c r="L283">
        <v>80871</v>
      </c>
      <c r="M283" t="s">
        <v>62</v>
      </c>
      <c r="N283" t="s">
        <v>1064</v>
      </c>
      <c r="O283" t="s">
        <v>30</v>
      </c>
      <c r="P283" t="s">
        <v>31</v>
      </c>
      <c r="Q283" t="s">
        <v>582</v>
      </c>
      <c r="R283" t="s">
        <v>1764</v>
      </c>
      <c r="S283">
        <v>1</v>
      </c>
      <c r="T283" s="2">
        <v>0.15</v>
      </c>
      <c r="U283" t="s">
        <v>1765</v>
      </c>
    </row>
    <row r="284" spans="1:21">
      <c r="A284">
        <v>177</v>
      </c>
      <c r="B284" t="s">
        <v>1766</v>
      </c>
      <c r="C284" s="1">
        <v>45068</v>
      </c>
      <c r="D284" s="1">
        <v>45071</v>
      </c>
      <c r="E284" t="s">
        <v>36</v>
      </c>
      <c r="F284" t="s">
        <v>1767</v>
      </c>
      <c r="G284" t="s">
        <v>308</v>
      </c>
      <c r="H284" t="s">
        <v>39</v>
      </c>
      <c r="I284" t="s">
        <v>26</v>
      </c>
      <c r="J284" t="s">
        <v>40</v>
      </c>
      <c r="K284" t="s">
        <v>40</v>
      </c>
      <c r="L284">
        <v>26241</v>
      </c>
      <c r="M284" t="s">
        <v>41</v>
      </c>
      <c r="N284" t="s">
        <v>1768</v>
      </c>
      <c r="O284" t="s">
        <v>64</v>
      </c>
      <c r="P284" t="s">
        <v>105</v>
      </c>
      <c r="Q284" t="s">
        <v>1769</v>
      </c>
      <c r="R284" t="s">
        <v>1770</v>
      </c>
      <c r="S284">
        <v>1</v>
      </c>
      <c r="T284" s="2">
        <v>0.1</v>
      </c>
      <c r="U284" t="s">
        <v>1771</v>
      </c>
    </row>
    <row r="285" spans="1:21">
      <c r="A285">
        <v>191</v>
      </c>
      <c r="B285" t="s">
        <v>1772</v>
      </c>
      <c r="C285" s="1">
        <v>45070</v>
      </c>
      <c r="D285" s="1">
        <v>45075</v>
      </c>
      <c r="E285" t="s">
        <v>36</v>
      </c>
      <c r="F285" t="s">
        <v>1773</v>
      </c>
      <c r="G285" t="s">
        <v>267</v>
      </c>
      <c r="H285" t="s">
        <v>25</v>
      </c>
      <c r="I285" t="s">
        <v>26</v>
      </c>
      <c r="J285" t="s">
        <v>301</v>
      </c>
      <c r="K285" t="s">
        <v>301</v>
      </c>
      <c r="L285">
        <v>22112</v>
      </c>
      <c r="M285" t="s">
        <v>73</v>
      </c>
      <c r="N285" t="s">
        <v>499</v>
      </c>
      <c r="O285" t="s">
        <v>30</v>
      </c>
      <c r="P285" t="s">
        <v>31</v>
      </c>
      <c r="Q285" t="s">
        <v>1701</v>
      </c>
      <c r="R285" t="s">
        <v>1774</v>
      </c>
      <c r="S285">
        <v>3</v>
      </c>
      <c r="T285" s="2">
        <v>0</v>
      </c>
      <c r="U285" t="s">
        <v>1775</v>
      </c>
    </row>
    <row r="286" spans="1:21">
      <c r="A286">
        <v>102</v>
      </c>
      <c r="B286" t="s">
        <v>1776</v>
      </c>
      <c r="C286" s="1">
        <v>45070</v>
      </c>
      <c r="D286" s="1">
        <v>45071</v>
      </c>
      <c r="E286" t="s">
        <v>49</v>
      </c>
      <c r="F286" t="s">
        <v>1777</v>
      </c>
      <c r="G286" t="s">
        <v>648</v>
      </c>
      <c r="H286" t="s">
        <v>39</v>
      </c>
      <c r="I286" t="s">
        <v>26</v>
      </c>
      <c r="J286" t="s">
        <v>229</v>
      </c>
      <c r="K286" t="s">
        <v>229</v>
      </c>
      <c r="L286">
        <v>48467</v>
      </c>
      <c r="M286" t="s">
        <v>73</v>
      </c>
      <c r="N286" t="s">
        <v>486</v>
      </c>
      <c r="O286" t="s">
        <v>64</v>
      </c>
      <c r="P286" t="s">
        <v>405</v>
      </c>
      <c r="Q286" t="s">
        <v>1300</v>
      </c>
      <c r="R286" t="s">
        <v>1778</v>
      </c>
      <c r="S286">
        <v>7</v>
      </c>
      <c r="T286" s="2">
        <v>0.1</v>
      </c>
      <c r="U286" t="s">
        <v>1779</v>
      </c>
    </row>
    <row r="287" spans="1:21">
      <c r="A287">
        <v>345</v>
      </c>
      <c r="B287" t="s">
        <v>1780</v>
      </c>
      <c r="C287" s="1">
        <v>45070</v>
      </c>
      <c r="D287" s="1">
        <v>45074</v>
      </c>
      <c r="E287" t="s">
        <v>382</v>
      </c>
      <c r="F287" t="s">
        <v>1781</v>
      </c>
      <c r="G287" t="s">
        <v>932</v>
      </c>
      <c r="H287" t="s">
        <v>25</v>
      </c>
      <c r="I287" t="s">
        <v>26</v>
      </c>
      <c r="J287" t="s">
        <v>40</v>
      </c>
      <c r="K287" t="s">
        <v>40</v>
      </c>
      <c r="L287">
        <v>18949</v>
      </c>
      <c r="M287" t="s">
        <v>41</v>
      </c>
      <c r="N287" t="s">
        <v>1782</v>
      </c>
      <c r="O287" t="s">
        <v>43</v>
      </c>
      <c r="P287" t="s">
        <v>189</v>
      </c>
      <c r="Q287" t="s">
        <v>1783</v>
      </c>
      <c r="R287" t="s">
        <v>1784</v>
      </c>
      <c r="S287">
        <v>3</v>
      </c>
      <c r="T287" s="2">
        <v>0.05</v>
      </c>
      <c r="U287" t="s">
        <v>1785</v>
      </c>
    </row>
    <row r="288" spans="1:21">
      <c r="A288">
        <v>14</v>
      </c>
      <c r="B288" t="s">
        <v>1786</v>
      </c>
      <c r="C288" s="1">
        <v>45071</v>
      </c>
      <c r="D288" s="1">
        <v>45077</v>
      </c>
      <c r="E288" t="s">
        <v>36</v>
      </c>
      <c r="F288" t="s">
        <v>1787</v>
      </c>
      <c r="G288" t="s">
        <v>149</v>
      </c>
      <c r="H288" t="s">
        <v>25</v>
      </c>
      <c r="I288" t="s">
        <v>26</v>
      </c>
      <c r="J288" t="s">
        <v>72</v>
      </c>
      <c r="K288" t="s">
        <v>72</v>
      </c>
      <c r="L288">
        <v>68871</v>
      </c>
      <c r="M288" t="s">
        <v>73</v>
      </c>
      <c r="N288" t="s">
        <v>1788</v>
      </c>
      <c r="O288" t="s">
        <v>30</v>
      </c>
      <c r="P288" t="s">
        <v>120</v>
      </c>
      <c r="Q288" t="s">
        <v>1789</v>
      </c>
      <c r="R288" t="s">
        <v>1790</v>
      </c>
      <c r="S288">
        <v>1</v>
      </c>
      <c r="T288" s="2">
        <v>0.05</v>
      </c>
      <c r="U288" t="s">
        <v>1791</v>
      </c>
    </row>
    <row r="289" spans="1:21">
      <c r="A289">
        <v>537</v>
      </c>
      <c r="B289" t="s">
        <v>1792</v>
      </c>
      <c r="C289" s="1">
        <v>45072</v>
      </c>
      <c r="D289" s="1">
        <v>45074</v>
      </c>
      <c r="E289" t="s">
        <v>36</v>
      </c>
      <c r="F289" t="s">
        <v>1793</v>
      </c>
      <c r="G289" t="s">
        <v>1194</v>
      </c>
      <c r="H289" t="s">
        <v>39</v>
      </c>
      <c r="I289" t="s">
        <v>26</v>
      </c>
      <c r="J289" t="s">
        <v>27</v>
      </c>
      <c r="K289" t="s">
        <v>27</v>
      </c>
      <c r="L289">
        <v>34756</v>
      </c>
      <c r="M289" t="s">
        <v>28</v>
      </c>
      <c r="N289" t="s">
        <v>1794</v>
      </c>
      <c r="O289" t="s">
        <v>43</v>
      </c>
      <c r="P289" t="s">
        <v>128</v>
      </c>
      <c r="Q289" t="s">
        <v>1795</v>
      </c>
      <c r="R289" t="s">
        <v>1796</v>
      </c>
      <c r="S289">
        <v>2</v>
      </c>
      <c r="T289" s="2">
        <v>0.15</v>
      </c>
      <c r="U289" t="s">
        <v>1596</v>
      </c>
    </row>
    <row r="290" spans="1:21">
      <c r="A290">
        <v>358</v>
      </c>
      <c r="B290" t="s">
        <v>1797</v>
      </c>
      <c r="C290" s="1">
        <v>45075</v>
      </c>
      <c r="D290" s="1">
        <v>45078</v>
      </c>
      <c r="E290" t="s">
        <v>22</v>
      </c>
      <c r="F290" t="s">
        <v>1798</v>
      </c>
      <c r="G290" t="s">
        <v>1025</v>
      </c>
      <c r="H290" t="s">
        <v>39</v>
      </c>
      <c r="I290" t="s">
        <v>26</v>
      </c>
      <c r="J290" t="s">
        <v>150</v>
      </c>
      <c r="K290" t="s">
        <v>150</v>
      </c>
      <c r="L290">
        <v>45268</v>
      </c>
      <c r="M290" t="s">
        <v>73</v>
      </c>
      <c r="N290" t="s">
        <v>1799</v>
      </c>
      <c r="O290" t="s">
        <v>30</v>
      </c>
      <c r="P290" t="s">
        <v>31</v>
      </c>
      <c r="Q290" t="s">
        <v>506</v>
      </c>
      <c r="R290" t="s">
        <v>1800</v>
      </c>
      <c r="S290">
        <v>5</v>
      </c>
      <c r="T290" s="2">
        <v>0</v>
      </c>
      <c r="U290" t="s">
        <v>1801</v>
      </c>
    </row>
    <row r="291" spans="1:21">
      <c r="A291">
        <v>44</v>
      </c>
      <c r="B291" t="s">
        <v>1802</v>
      </c>
      <c r="C291" s="1">
        <v>45077</v>
      </c>
      <c r="D291" s="1">
        <v>45082</v>
      </c>
      <c r="E291" t="s">
        <v>22</v>
      </c>
      <c r="F291" t="s">
        <v>1803</v>
      </c>
      <c r="G291" t="s">
        <v>816</v>
      </c>
      <c r="H291" t="s">
        <v>25</v>
      </c>
      <c r="I291" t="s">
        <v>26</v>
      </c>
      <c r="J291" t="s">
        <v>157</v>
      </c>
      <c r="K291" t="s">
        <v>157</v>
      </c>
      <c r="L291">
        <v>10117</v>
      </c>
      <c r="M291" t="s">
        <v>62</v>
      </c>
      <c r="N291" t="s">
        <v>1804</v>
      </c>
      <c r="O291" t="s">
        <v>30</v>
      </c>
      <c r="P291" t="s">
        <v>222</v>
      </c>
      <c r="Q291" t="s">
        <v>824</v>
      </c>
      <c r="R291" t="s">
        <v>1805</v>
      </c>
      <c r="S291">
        <v>5</v>
      </c>
      <c r="T291" s="2">
        <v>0.5</v>
      </c>
      <c r="U291" t="s">
        <v>1806</v>
      </c>
    </row>
    <row r="292" spans="1:21">
      <c r="A292">
        <v>489</v>
      </c>
      <c r="B292" t="s">
        <v>1807</v>
      </c>
      <c r="C292" s="1">
        <v>45078</v>
      </c>
      <c r="D292" s="1">
        <v>45082</v>
      </c>
      <c r="E292" t="s">
        <v>36</v>
      </c>
      <c r="F292" t="s">
        <v>1808</v>
      </c>
      <c r="G292" t="s">
        <v>1809</v>
      </c>
      <c r="H292" t="s">
        <v>60</v>
      </c>
      <c r="I292" t="s">
        <v>26</v>
      </c>
      <c r="J292" t="s">
        <v>157</v>
      </c>
      <c r="K292" t="s">
        <v>157</v>
      </c>
      <c r="L292">
        <v>64816</v>
      </c>
      <c r="M292" t="s">
        <v>62</v>
      </c>
      <c r="N292" t="s">
        <v>1810</v>
      </c>
      <c r="O292" t="s">
        <v>64</v>
      </c>
      <c r="P292" t="s">
        <v>65</v>
      </c>
      <c r="Q292" t="s">
        <v>1811</v>
      </c>
      <c r="R292" t="s">
        <v>1812</v>
      </c>
      <c r="S292">
        <v>3</v>
      </c>
      <c r="T292" s="2">
        <v>0.05</v>
      </c>
      <c r="U292" t="s">
        <v>1813</v>
      </c>
    </row>
    <row r="293" spans="1:21">
      <c r="A293">
        <v>226</v>
      </c>
      <c r="B293" t="s">
        <v>1814</v>
      </c>
      <c r="C293" s="1">
        <v>45080</v>
      </c>
      <c r="D293" s="1">
        <v>45083</v>
      </c>
      <c r="E293" t="s">
        <v>49</v>
      </c>
      <c r="F293" t="s">
        <v>1815</v>
      </c>
      <c r="G293" t="s">
        <v>1809</v>
      </c>
      <c r="H293" t="s">
        <v>25</v>
      </c>
      <c r="I293" t="s">
        <v>26</v>
      </c>
      <c r="J293" t="s">
        <v>52</v>
      </c>
      <c r="K293" t="s">
        <v>52</v>
      </c>
      <c r="L293">
        <v>19076</v>
      </c>
      <c r="M293" t="s">
        <v>41</v>
      </c>
      <c r="N293" t="s">
        <v>1816</v>
      </c>
      <c r="O293" t="s">
        <v>64</v>
      </c>
      <c r="P293" t="s">
        <v>105</v>
      </c>
      <c r="Q293" t="s">
        <v>1817</v>
      </c>
      <c r="R293" t="s">
        <v>1818</v>
      </c>
      <c r="S293">
        <v>4</v>
      </c>
      <c r="T293" s="2">
        <v>0.05</v>
      </c>
      <c r="U293" t="s">
        <v>1819</v>
      </c>
    </row>
    <row r="294" spans="1:21">
      <c r="A294">
        <v>598</v>
      </c>
      <c r="B294" t="s">
        <v>1820</v>
      </c>
      <c r="C294" s="1">
        <v>45090</v>
      </c>
      <c r="D294" s="1">
        <v>45093</v>
      </c>
      <c r="E294" t="s">
        <v>36</v>
      </c>
      <c r="F294" t="s">
        <v>1821</v>
      </c>
      <c r="G294" t="s">
        <v>1212</v>
      </c>
      <c r="H294" t="s">
        <v>39</v>
      </c>
      <c r="I294" t="s">
        <v>26</v>
      </c>
      <c r="J294" t="s">
        <v>204</v>
      </c>
      <c r="K294" t="s">
        <v>204</v>
      </c>
      <c r="L294">
        <v>67153</v>
      </c>
      <c r="M294" t="s">
        <v>28</v>
      </c>
      <c r="N294" t="s">
        <v>1768</v>
      </c>
      <c r="O294" t="s">
        <v>30</v>
      </c>
      <c r="P294" t="s">
        <v>197</v>
      </c>
      <c r="Q294" t="s">
        <v>1822</v>
      </c>
      <c r="R294" t="s">
        <v>1823</v>
      </c>
      <c r="S294">
        <v>5</v>
      </c>
      <c r="T294" s="2">
        <v>0.15</v>
      </c>
      <c r="U294" t="s">
        <v>1824</v>
      </c>
    </row>
    <row r="295" spans="1:21">
      <c r="A295">
        <v>170</v>
      </c>
      <c r="B295" t="s">
        <v>1825</v>
      </c>
      <c r="C295" s="1">
        <v>45094</v>
      </c>
      <c r="D295" s="1">
        <v>45097</v>
      </c>
      <c r="E295" t="s">
        <v>36</v>
      </c>
      <c r="F295" t="s">
        <v>1826</v>
      </c>
      <c r="G295" t="s">
        <v>370</v>
      </c>
      <c r="H295" t="s">
        <v>25</v>
      </c>
      <c r="I295" t="s">
        <v>26</v>
      </c>
      <c r="J295" t="s">
        <v>40</v>
      </c>
      <c r="K295" t="s">
        <v>40</v>
      </c>
      <c r="L295">
        <v>84619</v>
      </c>
      <c r="M295" t="s">
        <v>41</v>
      </c>
      <c r="N295" t="s">
        <v>1827</v>
      </c>
      <c r="O295" t="s">
        <v>43</v>
      </c>
      <c r="P295" t="s">
        <v>128</v>
      </c>
      <c r="Q295" t="s">
        <v>1828</v>
      </c>
      <c r="R295" t="s">
        <v>1829</v>
      </c>
      <c r="S295">
        <v>3</v>
      </c>
      <c r="T295" s="2">
        <v>0.15</v>
      </c>
      <c r="U295" t="s">
        <v>1029</v>
      </c>
    </row>
    <row r="296" spans="1:21">
      <c r="A296">
        <v>530</v>
      </c>
      <c r="B296" t="s">
        <v>1830</v>
      </c>
      <c r="C296" s="1">
        <v>45098</v>
      </c>
      <c r="D296" s="1">
        <v>45101</v>
      </c>
      <c r="E296" t="s">
        <v>36</v>
      </c>
      <c r="F296" t="s">
        <v>1831</v>
      </c>
      <c r="G296" t="s">
        <v>195</v>
      </c>
      <c r="H296" t="s">
        <v>39</v>
      </c>
      <c r="I296" t="s">
        <v>26</v>
      </c>
      <c r="J296" t="s">
        <v>237</v>
      </c>
      <c r="K296" t="s">
        <v>237</v>
      </c>
      <c r="L296">
        <v>93029</v>
      </c>
      <c r="M296" t="s">
        <v>41</v>
      </c>
      <c r="N296" t="s">
        <v>1832</v>
      </c>
      <c r="O296" t="s">
        <v>64</v>
      </c>
      <c r="P296" t="s">
        <v>405</v>
      </c>
      <c r="Q296" t="s">
        <v>1459</v>
      </c>
      <c r="R296" t="s">
        <v>1833</v>
      </c>
      <c r="S296">
        <v>5</v>
      </c>
      <c r="T296" s="2">
        <v>0.2</v>
      </c>
      <c r="U296" t="s">
        <v>1834</v>
      </c>
    </row>
    <row r="297" spans="1:21">
      <c r="A297">
        <v>454</v>
      </c>
      <c r="B297" t="s">
        <v>1835</v>
      </c>
      <c r="C297" s="1">
        <v>45098</v>
      </c>
      <c r="D297" s="1">
        <v>45102</v>
      </c>
      <c r="E297" t="s">
        <v>22</v>
      </c>
      <c r="F297" t="s">
        <v>1836</v>
      </c>
      <c r="G297" t="s">
        <v>425</v>
      </c>
      <c r="H297" t="s">
        <v>25</v>
      </c>
      <c r="I297" t="s">
        <v>26</v>
      </c>
      <c r="J297" t="s">
        <v>173</v>
      </c>
      <c r="K297" t="s">
        <v>173</v>
      </c>
      <c r="L297">
        <v>17446</v>
      </c>
      <c r="M297" t="s">
        <v>73</v>
      </c>
      <c r="N297" t="s">
        <v>1837</v>
      </c>
      <c r="O297" t="s">
        <v>43</v>
      </c>
      <c r="P297" t="s">
        <v>214</v>
      </c>
      <c r="Q297" t="s">
        <v>473</v>
      </c>
      <c r="R297" t="s">
        <v>1838</v>
      </c>
      <c r="S297">
        <v>1</v>
      </c>
      <c r="T297" s="2">
        <v>0.15</v>
      </c>
      <c r="U297" t="s">
        <v>1839</v>
      </c>
    </row>
    <row r="298" spans="1:21">
      <c r="A298">
        <v>555</v>
      </c>
      <c r="B298" t="s">
        <v>1840</v>
      </c>
      <c r="C298" s="1">
        <v>45107</v>
      </c>
      <c r="D298" s="1">
        <v>45111</v>
      </c>
      <c r="E298" t="s">
        <v>36</v>
      </c>
      <c r="F298" t="s">
        <v>1841</v>
      </c>
      <c r="G298" t="s">
        <v>471</v>
      </c>
      <c r="H298" t="s">
        <v>25</v>
      </c>
      <c r="I298" t="s">
        <v>26</v>
      </c>
      <c r="J298" t="s">
        <v>229</v>
      </c>
      <c r="K298" t="s">
        <v>229</v>
      </c>
      <c r="L298">
        <v>59262</v>
      </c>
      <c r="M298" t="s">
        <v>73</v>
      </c>
      <c r="N298" t="s">
        <v>74</v>
      </c>
      <c r="O298" t="s">
        <v>64</v>
      </c>
      <c r="P298" t="s">
        <v>405</v>
      </c>
      <c r="Q298" t="s">
        <v>1136</v>
      </c>
      <c r="R298" t="s">
        <v>1842</v>
      </c>
      <c r="S298">
        <v>3</v>
      </c>
      <c r="T298" s="2">
        <v>0.4</v>
      </c>
      <c r="U298" t="s">
        <v>1843</v>
      </c>
    </row>
    <row r="299" spans="1:21">
      <c r="A299">
        <v>574</v>
      </c>
      <c r="B299" t="s">
        <v>1844</v>
      </c>
      <c r="C299" s="1">
        <v>45107</v>
      </c>
      <c r="D299" s="1">
        <v>45111</v>
      </c>
      <c r="E299" t="s">
        <v>49</v>
      </c>
      <c r="F299" t="s">
        <v>1845</v>
      </c>
      <c r="G299" t="s">
        <v>1253</v>
      </c>
      <c r="H299" t="s">
        <v>25</v>
      </c>
      <c r="I299" t="s">
        <v>26</v>
      </c>
      <c r="J299" t="s">
        <v>212</v>
      </c>
      <c r="K299" t="s">
        <v>212</v>
      </c>
      <c r="L299">
        <v>70695</v>
      </c>
      <c r="M299" t="s">
        <v>28</v>
      </c>
      <c r="N299" t="s">
        <v>1846</v>
      </c>
      <c r="O299" t="s">
        <v>43</v>
      </c>
      <c r="P299" t="s">
        <v>166</v>
      </c>
      <c r="Q299" t="s">
        <v>1847</v>
      </c>
      <c r="R299" t="s">
        <v>923</v>
      </c>
      <c r="S299">
        <v>6</v>
      </c>
      <c r="T299" s="2">
        <v>0.3</v>
      </c>
      <c r="U299" t="s">
        <v>942</v>
      </c>
    </row>
    <row r="300" spans="1:21">
      <c r="A300">
        <v>349</v>
      </c>
      <c r="B300" t="s">
        <v>1848</v>
      </c>
      <c r="C300" s="1">
        <v>45108</v>
      </c>
      <c r="D300" s="1">
        <v>45111</v>
      </c>
      <c r="E300" t="s">
        <v>36</v>
      </c>
      <c r="F300" t="s">
        <v>1849</v>
      </c>
      <c r="G300" t="s">
        <v>1850</v>
      </c>
      <c r="H300" t="s">
        <v>60</v>
      </c>
      <c r="I300" t="s">
        <v>26</v>
      </c>
      <c r="J300" t="s">
        <v>641</v>
      </c>
      <c r="K300" t="s">
        <v>641</v>
      </c>
      <c r="L300">
        <v>34014</v>
      </c>
      <c r="M300" t="s">
        <v>62</v>
      </c>
      <c r="N300" t="s">
        <v>1851</v>
      </c>
      <c r="O300" t="s">
        <v>43</v>
      </c>
      <c r="P300" t="s">
        <v>83</v>
      </c>
      <c r="Q300" t="s">
        <v>1284</v>
      </c>
      <c r="R300" t="s">
        <v>1852</v>
      </c>
      <c r="S300">
        <v>3</v>
      </c>
      <c r="T300" s="2">
        <v>0.05</v>
      </c>
      <c r="U300" t="s">
        <v>1853</v>
      </c>
    </row>
    <row r="301" spans="1:21">
      <c r="A301">
        <v>16</v>
      </c>
      <c r="B301" t="s">
        <v>1854</v>
      </c>
      <c r="C301" s="1">
        <v>45108</v>
      </c>
      <c r="D301" s="1">
        <v>45112</v>
      </c>
      <c r="E301" t="s">
        <v>36</v>
      </c>
      <c r="F301" t="s">
        <v>1855</v>
      </c>
      <c r="G301" t="s">
        <v>945</v>
      </c>
      <c r="H301" t="s">
        <v>25</v>
      </c>
      <c r="I301" t="s">
        <v>26</v>
      </c>
      <c r="J301" t="s">
        <v>96</v>
      </c>
      <c r="K301" t="s">
        <v>96</v>
      </c>
      <c r="L301">
        <v>75726</v>
      </c>
      <c r="M301" t="s">
        <v>28</v>
      </c>
      <c r="N301" t="s">
        <v>1856</v>
      </c>
      <c r="O301" t="s">
        <v>30</v>
      </c>
      <c r="P301" t="s">
        <v>120</v>
      </c>
      <c r="Q301" t="s">
        <v>1099</v>
      </c>
      <c r="R301" t="s">
        <v>1857</v>
      </c>
      <c r="S301">
        <v>5</v>
      </c>
      <c r="T301" s="2">
        <v>0.4</v>
      </c>
      <c r="U301" t="s">
        <v>1858</v>
      </c>
    </row>
    <row r="302" spans="1:21">
      <c r="A302">
        <v>245</v>
      </c>
      <c r="B302" t="s">
        <v>1859</v>
      </c>
      <c r="C302" s="1">
        <v>45110</v>
      </c>
      <c r="D302" s="1">
        <v>45112</v>
      </c>
      <c r="E302" t="s">
        <v>49</v>
      </c>
      <c r="F302" t="s">
        <v>1860</v>
      </c>
      <c r="G302" t="s">
        <v>1625</v>
      </c>
      <c r="H302" t="s">
        <v>25</v>
      </c>
      <c r="I302" t="s">
        <v>26</v>
      </c>
      <c r="J302" t="s">
        <v>173</v>
      </c>
      <c r="K302" t="s">
        <v>173</v>
      </c>
      <c r="L302">
        <v>16078</v>
      </c>
      <c r="M302" t="s">
        <v>73</v>
      </c>
      <c r="N302" t="s">
        <v>1861</v>
      </c>
      <c r="O302" t="s">
        <v>43</v>
      </c>
      <c r="P302" t="s">
        <v>44</v>
      </c>
      <c r="Q302" t="s">
        <v>1862</v>
      </c>
      <c r="R302" t="s">
        <v>1863</v>
      </c>
      <c r="S302">
        <v>3</v>
      </c>
      <c r="T302" s="2">
        <v>0.2</v>
      </c>
      <c r="U302" t="s">
        <v>1864</v>
      </c>
    </row>
    <row r="303" spans="1:21">
      <c r="A303">
        <v>309</v>
      </c>
      <c r="B303" t="s">
        <v>1865</v>
      </c>
      <c r="C303" s="1">
        <v>45115</v>
      </c>
      <c r="D303" s="1">
        <v>45117</v>
      </c>
      <c r="E303" t="s">
        <v>36</v>
      </c>
      <c r="F303" t="s">
        <v>1866</v>
      </c>
      <c r="G303" t="s">
        <v>236</v>
      </c>
      <c r="H303" t="s">
        <v>25</v>
      </c>
      <c r="I303" t="s">
        <v>26</v>
      </c>
      <c r="J303" t="s">
        <v>52</v>
      </c>
      <c r="K303" t="s">
        <v>52</v>
      </c>
      <c r="L303">
        <v>70892</v>
      </c>
      <c r="M303" t="s">
        <v>41</v>
      </c>
      <c r="N303" t="s">
        <v>1867</v>
      </c>
      <c r="O303" t="s">
        <v>43</v>
      </c>
      <c r="P303" t="s">
        <v>128</v>
      </c>
      <c r="Q303" t="s">
        <v>175</v>
      </c>
      <c r="R303" t="s">
        <v>1868</v>
      </c>
      <c r="S303">
        <v>2</v>
      </c>
      <c r="T303" s="2">
        <v>0.4</v>
      </c>
      <c r="U303" t="s">
        <v>1869</v>
      </c>
    </row>
    <row r="304" spans="1:21">
      <c r="A304">
        <v>264</v>
      </c>
      <c r="B304" t="s">
        <v>1870</v>
      </c>
      <c r="C304" s="1">
        <v>45115</v>
      </c>
      <c r="D304" s="1">
        <v>45117</v>
      </c>
      <c r="E304" t="s">
        <v>49</v>
      </c>
      <c r="F304" t="s">
        <v>1871</v>
      </c>
      <c r="G304" t="s">
        <v>882</v>
      </c>
      <c r="H304" t="s">
        <v>25</v>
      </c>
      <c r="I304" t="s">
        <v>26</v>
      </c>
      <c r="J304" t="s">
        <v>157</v>
      </c>
      <c r="K304" t="s">
        <v>157</v>
      </c>
      <c r="L304">
        <v>61033</v>
      </c>
      <c r="M304" t="s">
        <v>62</v>
      </c>
      <c r="N304" t="s">
        <v>933</v>
      </c>
      <c r="O304" t="s">
        <v>30</v>
      </c>
      <c r="P304" t="s">
        <v>197</v>
      </c>
      <c r="Q304" t="s">
        <v>1872</v>
      </c>
      <c r="R304" t="s">
        <v>1873</v>
      </c>
      <c r="S304">
        <v>2</v>
      </c>
      <c r="T304" s="2">
        <v>0.05</v>
      </c>
      <c r="U304" t="s">
        <v>1874</v>
      </c>
    </row>
    <row r="305" spans="1:21">
      <c r="A305">
        <v>103</v>
      </c>
      <c r="B305" t="s">
        <v>1875</v>
      </c>
      <c r="C305" s="1">
        <v>45115</v>
      </c>
      <c r="D305" s="1">
        <v>45120</v>
      </c>
      <c r="E305" t="s">
        <v>49</v>
      </c>
      <c r="F305" t="s">
        <v>1876</v>
      </c>
      <c r="G305" t="s">
        <v>518</v>
      </c>
      <c r="H305" t="s">
        <v>39</v>
      </c>
      <c r="I305" t="s">
        <v>26</v>
      </c>
      <c r="J305" t="s">
        <v>173</v>
      </c>
      <c r="K305" t="s">
        <v>173</v>
      </c>
      <c r="L305">
        <v>78011</v>
      </c>
      <c r="M305" t="s">
        <v>73</v>
      </c>
      <c r="N305" t="s">
        <v>1877</v>
      </c>
      <c r="O305" t="s">
        <v>30</v>
      </c>
      <c r="P305" t="s">
        <v>120</v>
      </c>
      <c r="Q305" t="s">
        <v>1099</v>
      </c>
      <c r="R305" t="s">
        <v>1878</v>
      </c>
      <c r="S305">
        <v>4</v>
      </c>
      <c r="T305" s="2">
        <v>0.15</v>
      </c>
      <c r="U305" t="s">
        <v>1741</v>
      </c>
    </row>
    <row r="306" spans="1:21">
      <c r="A306">
        <v>283</v>
      </c>
      <c r="B306" t="s">
        <v>1879</v>
      </c>
      <c r="C306" s="1">
        <v>45118</v>
      </c>
      <c r="D306" s="1">
        <v>45121</v>
      </c>
      <c r="E306" t="s">
        <v>382</v>
      </c>
      <c r="F306" t="s">
        <v>1880</v>
      </c>
      <c r="G306" t="s">
        <v>1166</v>
      </c>
      <c r="H306" t="s">
        <v>39</v>
      </c>
      <c r="I306" t="s">
        <v>26</v>
      </c>
      <c r="J306" t="s">
        <v>438</v>
      </c>
      <c r="K306" t="s">
        <v>438</v>
      </c>
      <c r="L306">
        <v>62151</v>
      </c>
      <c r="M306" t="s">
        <v>28</v>
      </c>
      <c r="N306" t="s">
        <v>1881</v>
      </c>
      <c r="O306" t="s">
        <v>43</v>
      </c>
      <c r="P306" t="s">
        <v>214</v>
      </c>
      <c r="Q306" t="s">
        <v>1882</v>
      </c>
      <c r="R306" t="s">
        <v>1883</v>
      </c>
      <c r="S306">
        <v>7</v>
      </c>
      <c r="T306" s="2">
        <v>0</v>
      </c>
      <c r="U306" t="s">
        <v>1884</v>
      </c>
    </row>
    <row r="307" spans="1:21">
      <c r="A307">
        <v>173</v>
      </c>
      <c r="B307" t="s">
        <v>1885</v>
      </c>
      <c r="C307" s="1">
        <v>45119</v>
      </c>
      <c r="D307" s="1">
        <v>45121</v>
      </c>
      <c r="E307" t="s">
        <v>22</v>
      </c>
      <c r="F307" t="s">
        <v>1886</v>
      </c>
      <c r="G307" t="s">
        <v>329</v>
      </c>
      <c r="H307" t="s">
        <v>39</v>
      </c>
      <c r="I307" t="s">
        <v>26</v>
      </c>
      <c r="J307" t="s">
        <v>157</v>
      </c>
      <c r="K307" t="s">
        <v>157</v>
      </c>
      <c r="L307">
        <v>95179</v>
      </c>
      <c r="M307" t="s">
        <v>62</v>
      </c>
      <c r="N307" t="s">
        <v>1887</v>
      </c>
      <c r="O307" t="s">
        <v>43</v>
      </c>
      <c r="P307" t="s">
        <v>189</v>
      </c>
      <c r="Q307" t="s">
        <v>281</v>
      </c>
      <c r="R307" t="s">
        <v>1888</v>
      </c>
      <c r="S307">
        <v>7</v>
      </c>
      <c r="T307" s="2">
        <v>0.1</v>
      </c>
      <c r="U307" t="s">
        <v>415</v>
      </c>
    </row>
    <row r="308" spans="1:21">
      <c r="A308">
        <v>322</v>
      </c>
      <c r="B308" t="s">
        <v>1889</v>
      </c>
      <c r="C308" s="1">
        <v>45119</v>
      </c>
      <c r="D308" s="1">
        <v>45122</v>
      </c>
      <c r="E308" t="s">
        <v>36</v>
      </c>
      <c r="F308" t="s">
        <v>1890</v>
      </c>
      <c r="G308" t="s">
        <v>38</v>
      </c>
      <c r="H308" t="s">
        <v>25</v>
      </c>
      <c r="I308" t="s">
        <v>26</v>
      </c>
      <c r="J308" t="s">
        <v>27</v>
      </c>
      <c r="K308" t="s">
        <v>27</v>
      </c>
      <c r="L308">
        <v>80111</v>
      </c>
      <c r="M308" t="s">
        <v>28</v>
      </c>
      <c r="N308" t="s">
        <v>1891</v>
      </c>
      <c r="O308" t="s">
        <v>43</v>
      </c>
      <c r="P308" t="s">
        <v>83</v>
      </c>
      <c r="Q308" t="s">
        <v>427</v>
      </c>
      <c r="R308" t="s">
        <v>1892</v>
      </c>
      <c r="S308">
        <v>6</v>
      </c>
      <c r="T308" s="2">
        <v>0.15</v>
      </c>
      <c r="U308" t="s">
        <v>161</v>
      </c>
    </row>
    <row r="309" spans="1:21">
      <c r="A309">
        <v>588</v>
      </c>
      <c r="B309" t="s">
        <v>1893</v>
      </c>
      <c r="C309" s="1">
        <v>45120</v>
      </c>
      <c r="D309" s="1">
        <v>45123</v>
      </c>
      <c r="E309" t="s">
        <v>49</v>
      </c>
      <c r="F309" t="s">
        <v>1894</v>
      </c>
      <c r="G309" t="s">
        <v>1076</v>
      </c>
      <c r="H309" t="s">
        <v>60</v>
      </c>
      <c r="I309" t="s">
        <v>26</v>
      </c>
      <c r="J309" t="s">
        <v>72</v>
      </c>
      <c r="K309" t="s">
        <v>72</v>
      </c>
      <c r="L309">
        <v>64068</v>
      </c>
      <c r="M309" t="s">
        <v>73</v>
      </c>
      <c r="N309" t="s">
        <v>1895</v>
      </c>
      <c r="O309" t="s">
        <v>30</v>
      </c>
      <c r="P309" t="s">
        <v>197</v>
      </c>
      <c r="Q309" t="s">
        <v>1896</v>
      </c>
      <c r="R309" t="s">
        <v>1897</v>
      </c>
      <c r="S309">
        <v>1</v>
      </c>
      <c r="T309" s="2">
        <v>0.5</v>
      </c>
      <c r="U309" t="s">
        <v>1898</v>
      </c>
    </row>
    <row r="310" spans="1:21">
      <c r="A310">
        <v>338</v>
      </c>
      <c r="B310" t="s">
        <v>1899</v>
      </c>
      <c r="C310" s="1">
        <v>45121</v>
      </c>
      <c r="D310" s="1">
        <v>45124</v>
      </c>
      <c r="E310" t="s">
        <v>49</v>
      </c>
      <c r="F310" t="s">
        <v>1900</v>
      </c>
      <c r="G310" t="s">
        <v>601</v>
      </c>
      <c r="H310" t="s">
        <v>39</v>
      </c>
      <c r="I310" t="s">
        <v>26</v>
      </c>
      <c r="J310" t="s">
        <v>363</v>
      </c>
      <c r="K310" t="s">
        <v>363</v>
      </c>
      <c r="L310">
        <v>16997</v>
      </c>
      <c r="M310" t="s">
        <v>62</v>
      </c>
      <c r="N310" t="s">
        <v>1901</v>
      </c>
      <c r="O310" t="s">
        <v>64</v>
      </c>
      <c r="P310" t="s">
        <v>65</v>
      </c>
      <c r="Q310" t="s">
        <v>1902</v>
      </c>
      <c r="R310" t="s">
        <v>1903</v>
      </c>
      <c r="S310">
        <v>4</v>
      </c>
      <c r="T310" s="2">
        <v>0.4</v>
      </c>
      <c r="U310" t="s">
        <v>1904</v>
      </c>
    </row>
    <row r="311" spans="1:21">
      <c r="A311">
        <v>600</v>
      </c>
      <c r="B311" t="s">
        <v>1905</v>
      </c>
      <c r="C311" s="1">
        <v>45129</v>
      </c>
      <c r="D311" s="1">
        <v>45132</v>
      </c>
      <c r="E311" t="s">
        <v>382</v>
      </c>
      <c r="F311" t="s">
        <v>1906</v>
      </c>
      <c r="G311" t="s">
        <v>322</v>
      </c>
      <c r="H311" t="s">
        <v>25</v>
      </c>
      <c r="I311" t="s">
        <v>26</v>
      </c>
      <c r="J311" t="s">
        <v>301</v>
      </c>
      <c r="K311" t="s">
        <v>301</v>
      </c>
      <c r="L311">
        <v>20681</v>
      </c>
      <c r="M311" t="s">
        <v>73</v>
      </c>
      <c r="N311" t="s">
        <v>1907</v>
      </c>
      <c r="O311" t="s">
        <v>43</v>
      </c>
      <c r="P311" t="s">
        <v>166</v>
      </c>
      <c r="Q311" t="s">
        <v>378</v>
      </c>
      <c r="R311" t="s">
        <v>1908</v>
      </c>
      <c r="S311">
        <v>1</v>
      </c>
      <c r="T311" s="2">
        <v>0.2</v>
      </c>
      <c r="U311" t="s">
        <v>1909</v>
      </c>
    </row>
    <row r="312" spans="1:21">
      <c r="A312">
        <v>464</v>
      </c>
      <c r="B312" t="s">
        <v>1910</v>
      </c>
      <c r="C312" s="1">
        <v>45129</v>
      </c>
      <c r="D312" s="1">
        <v>45133</v>
      </c>
      <c r="E312" t="s">
        <v>36</v>
      </c>
      <c r="F312" t="s">
        <v>1911</v>
      </c>
      <c r="G312" t="s">
        <v>1076</v>
      </c>
      <c r="H312" t="s">
        <v>60</v>
      </c>
      <c r="I312" t="s">
        <v>26</v>
      </c>
      <c r="J312" t="s">
        <v>237</v>
      </c>
      <c r="K312" t="s">
        <v>237</v>
      </c>
      <c r="L312">
        <v>92215</v>
      </c>
      <c r="M312" t="s">
        <v>41</v>
      </c>
      <c r="N312" t="s">
        <v>1912</v>
      </c>
      <c r="O312" t="s">
        <v>43</v>
      </c>
      <c r="P312" t="s">
        <v>189</v>
      </c>
      <c r="Q312" t="s">
        <v>281</v>
      </c>
      <c r="R312" t="s">
        <v>1913</v>
      </c>
      <c r="S312">
        <v>2</v>
      </c>
      <c r="T312" s="2">
        <v>0.4</v>
      </c>
      <c r="U312" t="s">
        <v>1914</v>
      </c>
    </row>
    <row r="313" spans="1:21">
      <c r="A313">
        <v>538</v>
      </c>
      <c r="B313" t="s">
        <v>1915</v>
      </c>
      <c r="C313" s="1">
        <v>45132</v>
      </c>
      <c r="D313" s="1">
        <v>45134</v>
      </c>
      <c r="E313" t="s">
        <v>36</v>
      </c>
      <c r="F313" t="s">
        <v>1916</v>
      </c>
      <c r="G313" t="s">
        <v>267</v>
      </c>
      <c r="H313" t="s">
        <v>25</v>
      </c>
      <c r="I313" t="s">
        <v>26</v>
      </c>
      <c r="J313" t="s">
        <v>212</v>
      </c>
      <c r="K313" t="s">
        <v>212</v>
      </c>
      <c r="L313">
        <v>74732</v>
      </c>
      <c r="M313" t="s">
        <v>28</v>
      </c>
      <c r="N313" t="s">
        <v>1917</v>
      </c>
      <c r="O313" t="s">
        <v>64</v>
      </c>
      <c r="P313" t="s">
        <v>105</v>
      </c>
      <c r="Q313" t="s">
        <v>1918</v>
      </c>
      <c r="R313" t="s">
        <v>1919</v>
      </c>
      <c r="S313">
        <v>1</v>
      </c>
      <c r="T313" s="2">
        <v>0.2</v>
      </c>
      <c r="U313" t="s">
        <v>1920</v>
      </c>
    </row>
    <row r="314" spans="1:21">
      <c r="A314">
        <v>108</v>
      </c>
      <c r="B314" t="s">
        <v>1921</v>
      </c>
      <c r="C314" s="1">
        <v>45139</v>
      </c>
      <c r="D314" s="1">
        <v>45141</v>
      </c>
      <c r="E314" t="s">
        <v>22</v>
      </c>
      <c r="F314" t="s">
        <v>1922</v>
      </c>
      <c r="G314" t="s">
        <v>794</v>
      </c>
      <c r="H314" t="s">
        <v>39</v>
      </c>
      <c r="I314" t="s">
        <v>26</v>
      </c>
      <c r="J314" t="s">
        <v>245</v>
      </c>
      <c r="K314" t="s">
        <v>245</v>
      </c>
      <c r="L314">
        <v>60200</v>
      </c>
      <c r="M314" t="s">
        <v>41</v>
      </c>
      <c r="N314" t="s">
        <v>1923</v>
      </c>
      <c r="O314" t="s">
        <v>43</v>
      </c>
      <c r="P314" t="s">
        <v>83</v>
      </c>
      <c r="Q314" t="s">
        <v>1082</v>
      </c>
      <c r="R314" t="s">
        <v>1292</v>
      </c>
      <c r="S314">
        <v>6</v>
      </c>
      <c r="T314" s="2">
        <v>0.3</v>
      </c>
      <c r="U314" t="s">
        <v>1924</v>
      </c>
    </row>
    <row r="315" spans="1:21">
      <c r="A315">
        <v>58</v>
      </c>
      <c r="B315" t="s">
        <v>1925</v>
      </c>
      <c r="C315" s="1">
        <v>45140</v>
      </c>
      <c r="D315" s="1">
        <v>45145</v>
      </c>
      <c r="E315" t="s">
        <v>382</v>
      </c>
      <c r="F315" t="s">
        <v>1926</v>
      </c>
      <c r="G315" t="s">
        <v>458</v>
      </c>
      <c r="H315" t="s">
        <v>39</v>
      </c>
      <c r="I315" t="s">
        <v>26</v>
      </c>
      <c r="J315" t="s">
        <v>96</v>
      </c>
      <c r="K315" t="s">
        <v>96</v>
      </c>
      <c r="L315">
        <v>63394</v>
      </c>
      <c r="M315" t="s">
        <v>28</v>
      </c>
      <c r="N315" t="s">
        <v>1927</v>
      </c>
      <c r="O315" t="s">
        <v>30</v>
      </c>
      <c r="P315" t="s">
        <v>197</v>
      </c>
      <c r="Q315" t="s">
        <v>806</v>
      </c>
      <c r="R315" t="s">
        <v>1928</v>
      </c>
      <c r="S315">
        <v>2</v>
      </c>
      <c r="T315" s="2">
        <v>0</v>
      </c>
      <c r="U315" t="s">
        <v>1929</v>
      </c>
    </row>
    <row r="316" spans="1:21">
      <c r="A316">
        <v>441</v>
      </c>
      <c r="B316" t="s">
        <v>1930</v>
      </c>
      <c r="C316" s="1">
        <v>45145</v>
      </c>
      <c r="D316" s="1">
        <v>45150</v>
      </c>
      <c r="E316" t="s">
        <v>22</v>
      </c>
      <c r="F316" t="s">
        <v>1931</v>
      </c>
      <c r="G316" t="s">
        <v>1572</v>
      </c>
      <c r="H316" t="s">
        <v>60</v>
      </c>
      <c r="I316" t="s">
        <v>26</v>
      </c>
      <c r="J316" t="s">
        <v>229</v>
      </c>
      <c r="K316" t="s">
        <v>229</v>
      </c>
      <c r="L316">
        <v>91741</v>
      </c>
      <c r="M316" t="s">
        <v>73</v>
      </c>
      <c r="N316" t="s">
        <v>1932</v>
      </c>
      <c r="O316" t="s">
        <v>43</v>
      </c>
      <c r="P316" t="s">
        <v>83</v>
      </c>
      <c r="Q316" t="s">
        <v>1933</v>
      </c>
      <c r="R316" t="s">
        <v>1934</v>
      </c>
      <c r="S316">
        <v>6</v>
      </c>
      <c r="T316" s="2">
        <v>0.2</v>
      </c>
      <c r="U316" t="s">
        <v>1935</v>
      </c>
    </row>
    <row r="317" spans="1:21">
      <c r="A317">
        <v>185</v>
      </c>
      <c r="B317" t="s">
        <v>1936</v>
      </c>
      <c r="C317" s="1">
        <v>45149</v>
      </c>
      <c r="D317" s="1">
        <v>45153</v>
      </c>
      <c r="E317" t="s">
        <v>22</v>
      </c>
      <c r="F317" t="s">
        <v>1937</v>
      </c>
      <c r="G317" t="s">
        <v>1938</v>
      </c>
      <c r="H317" t="s">
        <v>60</v>
      </c>
      <c r="I317" t="s">
        <v>26</v>
      </c>
      <c r="J317" t="s">
        <v>237</v>
      </c>
      <c r="K317" t="s">
        <v>237</v>
      </c>
      <c r="L317">
        <v>49464</v>
      </c>
      <c r="M317" t="s">
        <v>41</v>
      </c>
      <c r="N317" t="s">
        <v>1939</v>
      </c>
      <c r="O317" t="s">
        <v>30</v>
      </c>
      <c r="P317" t="s">
        <v>222</v>
      </c>
      <c r="Q317" t="s">
        <v>818</v>
      </c>
      <c r="R317" t="s">
        <v>1940</v>
      </c>
      <c r="S317">
        <v>4</v>
      </c>
      <c r="T317" s="2">
        <v>0.3</v>
      </c>
      <c r="U317" t="s">
        <v>1941</v>
      </c>
    </row>
    <row r="318" spans="1:21">
      <c r="A318">
        <v>516</v>
      </c>
      <c r="B318" t="s">
        <v>1942</v>
      </c>
      <c r="C318" s="1">
        <v>45151</v>
      </c>
      <c r="D318" s="1">
        <v>45154</v>
      </c>
      <c r="E318" t="s">
        <v>49</v>
      </c>
      <c r="F318" t="s">
        <v>1943</v>
      </c>
      <c r="G318" t="s">
        <v>149</v>
      </c>
      <c r="H318" t="s">
        <v>39</v>
      </c>
      <c r="I318" t="s">
        <v>26</v>
      </c>
      <c r="J318" t="s">
        <v>229</v>
      </c>
      <c r="K318" t="s">
        <v>229</v>
      </c>
      <c r="L318">
        <v>72409</v>
      </c>
      <c r="M318" t="s">
        <v>73</v>
      </c>
      <c r="N318" t="s">
        <v>1944</v>
      </c>
      <c r="O318" t="s">
        <v>43</v>
      </c>
      <c r="P318" t="s">
        <v>83</v>
      </c>
      <c r="Q318" t="s">
        <v>1196</v>
      </c>
      <c r="R318" t="s">
        <v>1945</v>
      </c>
      <c r="S318">
        <v>2</v>
      </c>
      <c r="T318" s="2">
        <v>0.15</v>
      </c>
      <c r="U318" t="s">
        <v>1946</v>
      </c>
    </row>
    <row r="319" spans="1:21">
      <c r="A319">
        <v>544</v>
      </c>
      <c r="B319" t="s">
        <v>1947</v>
      </c>
      <c r="C319" s="1">
        <v>45153</v>
      </c>
      <c r="D319" s="1">
        <v>45155</v>
      </c>
      <c r="E319" t="s">
        <v>22</v>
      </c>
      <c r="F319" t="s">
        <v>1948</v>
      </c>
      <c r="G319" t="s">
        <v>1685</v>
      </c>
      <c r="H319" t="s">
        <v>39</v>
      </c>
      <c r="I319" t="s">
        <v>26</v>
      </c>
      <c r="J319" t="s">
        <v>52</v>
      </c>
      <c r="K319" t="s">
        <v>52</v>
      </c>
      <c r="L319">
        <v>15813</v>
      </c>
      <c r="M319" t="s">
        <v>41</v>
      </c>
      <c r="N319" t="s">
        <v>165</v>
      </c>
      <c r="O319" t="s">
        <v>30</v>
      </c>
      <c r="P319" t="s">
        <v>222</v>
      </c>
      <c r="Q319" t="s">
        <v>513</v>
      </c>
      <c r="R319" t="s">
        <v>1949</v>
      </c>
      <c r="S319">
        <v>5</v>
      </c>
      <c r="T319" s="2">
        <v>0.5</v>
      </c>
      <c r="U319" t="s">
        <v>1950</v>
      </c>
    </row>
    <row r="320" spans="1:21">
      <c r="A320">
        <v>531</v>
      </c>
      <c r="B320" t="s">
        <v>1951</v>
      </c>
      <c r="C320" s="1">
        <v>45154</v>
      </c>
      <c r="D320" s="1">
        <v>45157</v>
      </c>
      <c r="E320" t="s">
        <v>49</v>
      </c>
      <c r="F320" t="s">
        <v>1952</v>
      </c>
      <c r="G320" t="s">
        <v>952</v>
      </c>
      <c r="H320" t="s">
        <v>25</v>
      </c>
      <c r="I320" t="s">
        <v>26</v>
      </c>
      <c r="J320" t="s">
        <v>96</v>
      </c>
      <c r="K320" t="s">
        <v>96</v>
      </c>
      <c r="L320">
        <v>74377</v>
      </c>
      <c r="M320" t="s">
        <v>28</v>
      </c>
      <c r="N320" t="s">
        <v>1953</v>
      </c>
      <c r="O320" t="s">
        <v>30</v>
      </c>
      <c r="P320" t="s">
        <v>31</v>
      </c>
      <c r="Q320" t="s">
        <v>739</v>
      </c>
      <c r="R320" t="s">
        <v>1954</v>
      </c>
      <c r="S320">
        <v>4</v>
      </c>
      <c r="T320" s="2">
        <v>0.3</v>
      </c>
      <c r="U320" t="s">
        <v>1955</v>
      </c>
    </row>
    <row r="321" spans="1:21">
      <c r="A321">
        <v>599</v>
      </c>
      <c r="B321" t="s">
        <v>1956</v>
      </c>
      <c r="C321" s="1">
        <v>45154</v>
      </c>
      <c r="D321" s="1">
        <v>45160</v>
      </c>
      <c r="E321" t="s">
        <v>36</v>
      </c>
      <c r="F321" t="s">
        <v>1957</v>
      </c>
      <c r="G321" t="s">
        <v>932</v>
      </c>
      <c r="H321" t="s">
        <v>60</v>
      </c>
      <c r="I321" t="s">
        <v>26</v>
      </c>
      <c r="J321" t="s">
        <v>52</v>
      </c>
      <c r="K321" t="s">
        <v>52</v>
      </c>
      <c r="L321">
        <v>16765</v>
      </c>
      <c r="M321" t="s">
        <v>41</v>
      </c>
      <c r="N321" t="s">
        <v>246</v>
      </c>
      <c r="O321" t="s">
        <v>30</v>
      </c>
      <c r="P321" t="s">
        <v>197</v>
      </c>
      <c r="Q321" t="s">
        <v>1958</v>
      </c>
      <c r="R321" t="s">
        <v>1959</v>
      </c>
      <c r="S321">
        <v>5</v>
      </c>
      <c r="T321" s="2">
        <v>0</v>
      </c>
      <c r="U321" t="s">
        <v>1960</v>
      </c>
    </row>
    <row r="322" spans="1:21">
      <c r="A322">
        <v>552</v>
      </c>
      <c r="B322" t="s">
        <v>1961</v>
      </c>
      <c r="C322" s="1">
        <v>45155</v>
      </c>
      <c r="D322" s="1">
        <v>45159</v>
      </c>
      <c r="E322" t="s">
        <v>36</v>
      </c>
      <c r="F322" t="s">
        <v>1962</v>
      </c>
      <c r="G322" t="s">
        <v>700</v>
      </c>
      <c r="H322" t="s">
        <v>25</v>
      </c>
      <c r="I322" t="s">
        <v>26</v>
      </c>
      <c r="J322" t="s">
        <v>229</v>
      </c>
      <c r="K322" t="s">
        <v>229</v>
      </c>
      <c r="L322">
        <v>42599</v>
      </c>
      <c r="M322" t="s">
        <v>73</v>
      </c>
      <c r="N322" t="s">
        <v>1963</v>
      </c>
      <c r="O322" t="s">
        <v>30</v>
      </c>
      <c r="P322" t="s">
        <v>222</v>
      </c>
      <c r="Q322" t="s">
        <v>1183</v>
      </c>
      <c r="R322" t="s">
        <v>1425</v>
      </c>
      <c r="S322">
        <v>3</v>
      </c>
      <c r="T322" s="2">
        <v>0</v>
      </c>
      <c r="U322" t="s">
        <v>1964</v>
      </c>
    </row>
    <row r="323" spans="1:21">
      <c r="A323">
        <v>331</v>
      </c>
      <c r="B323" t="s">
        <v>1965</v>
      </c>
      <c r="C323" s="1">
        <v>45155</v>
      </c>
      <c r="D323" s="1">
        <v>45158</v>
      </c>
      <c r="E323" t="s">
        <v>22</v>
      </c>
      <c r="F323" t="s">
        <v>1966</v>
      </c>
      <c r="G323" t="s">
        <v>1519</v>
      </c>
      <c r="H323" t="s">
        <v>25</v>
      </c>
      <c r="I323" t="s">
        <v>26</v>
      </c>
      <c r="J323" t="s">
        <v>641</v>
      </c>
      <c r="K323" t="s">
        <v>641</v>
      </c>
      <c r="L323">
        <v>12892</v>
      </c>
      <c r="M323" t="s">
        <v>62</v>
      </c>
      <c r="N323" t="s">
        <v>1967</v>
      </c>
      <c r="O323" t="s">
        <v>43</v>
      </c>
      <c r="P323" t="s">
        <v>44</v>
      </c>
      <c r="Q323" t="s">
        <v>239</v>
      </c>
      <c r="R323" t="s">
        <v>1968</v>
      </c>
      <c r="S323">
        <v>6</v>
      </c>
      <c r="T323" s="2">
        <v>0.3</v>
      </c>
      <c r="U323" t="s">
        <v>1969</v>
      </c>
    </row>
    <row r="324" spans="1:21">
      <c r="A324">
        <v>298</v>
      </c>
      <c r="B324" t="s">
        <v>1970</v>
      </c>
      <c r="C324" s="1">
        <v>45156</v>
      </c>
      <c r="D324" s="1">
        <v>45161</v>
      </c>
      <c r="E324" t="s">
        <v>49</v>
      </c>
      <c r="F324" t="s">
        <v>1971</v>
      </c>
      <c r="G324" t="s">
        <v>707</v>
      </c>
      <c r="H324" t="s">
        <v>60</v>
      </c>
      <c r="I324" t="s">
        <v>26</v>
      </c>
      <c r="J324" t="s">
        <v>52</v>
      </c>
      <c r="K324" t="s">
        <v>52</v>
      </c>
      <c r="L324">
        <v>23386</v>
      </c>
      <c r="M324" t="s">
        <v>41</v>
      </c>
      <c r="N324" t="s">
        <v>1972</v>
      </c>
      <c r="O324" t="s">
        <v>64</v>
      </c>
      <c r="P324" t="s">
        <v>405</v>
      </c>
      <c r="Q324" t="s">
        <v>1973</v>
      </c>
      <c r="R324" t="s">
        <v>1974</v>
      </c>
      <c r="S324">
        <v>6</v>
      </c>
      <c r="T324" s="2">
        <v>0.2</v>
      </c>
      <c r="U324" t="s">
        <v>1975</v>
      </c>
    </row>
    <row r="325" spans="1:21">
      <c r="A325">
        <v>329</v>
      </c>
      <c r="B325" t="s">
        <v>1976</v>
      </c>
      <c r="C325" s="1">
        <v>45157</v>
      </c>
      <c r="D325" s="1">
        <v>45160</v>
      </c>
      <c r="E325" t="s">
        <v>36</v>
      </c>
      <c r="F325" t="s">
        <v>1247</v>
      </c>
      <c r="G325" t="s">
        <v>1452</v>
      </c>
      <c r="H325" t="s">
        <v>25</v>
      </c>
      <c r="I325" t="s">
        <v>26</v>
      </c>
      <c r="J325" t="s">
        <v>363</v>
      </c>
      <c r="K325" t="s">
        <v>363</v>
      </c>
      <c r="L325">
        <v>84681</v>
      </c>
      <c r="M325" t="s">
        <v>62</v>
      </c>
      <c r="N325" t="s">
        <v>1977</v>
      </c>
      <c r="O325" t="s">
        <v>43</v>
      </c>
      <c r="P325" t="s">
        <v>128</v>
      </c>
      <c r="Q325" t="s">
        <v>615</v>
      </c>
      <c r="R325" t="s">
        <v>1978</v>
      </c>
      <c r="S325">
        <v>5</v>
      </c>
      <c r="T325" s="2">
        <v>0</v>
      </c>
      <c r="U325" t="s">
        <v>1979</v>
      </c>
    </row>
    <row r="326" spans="1:21">
      <c r="A326">
        <v>130</v>
      </c>
      <c r="B326" t="s">
        <v>1980</v>
      </c>
      <c r="C326" s="1">
        <v>45157</v>
      </c>
      <c r="D326" s="1">
        <v>45160</v>
      </c>
      <c r="E326" t="s">
        <v>49</v>
      </c>
      <c r="F326" t="s">
        <v>1981</v>
      </c>
      <c r="G326" t="s">
        <v>561</v>
      </c>
      <c r="H326" t="s">
        <v>25</v>
      </c>
      <c r="I326" t="s">
        <v>26</v>
      </c>
      <c r="J326" t="s">
        <v>245</v>
      </c>
      <c r="K326" t="s">
        <v>245</v>
      </c>
      <c r="L326">
        <v>32669</v>
      </c>
      <c r="M326" t="s">
        <v>41</v>
      </c>
      <c r="N326" t="s">
        <v>1982</v>
      </c>
      <c r="O326" t="s">
        <v>30</v>
      </c>
      <c r="P326" t="s">
        <v>120</v>
      </c>
      <c r="Q326" t="s">
        <v>1983</v>
      </c>
      <c r="R326" t="s">
        <v>1984</v>
      </c>
      <c r="S326">
        <v>7</v>
      </c>
      <c r="T326" s="2">
        <v>0.1</v>
      </c>
      <c r="U326" t="s">
        <v>1028</v>
      </c>
    </row>
    <row r="327" spans="1:21">
      <c r="A327">
        <v>279</v>
      </c>
      <c r="B327" t="s">
        <v>1985</v>
      </c>
      <c r="C327" s="1">
        <v>45159</v>
      </c>
      <c r="D327" s="1">
        <v>45162</v>
      </c>
      <c r="E327" t="s">
        <v>22</v>
      </c>
      <c r="F327" t="s">
        <v>1986</v>
      </c>
      <c r="G327" t="s">
        <v>932</v>
      </c>
      <c r="H327" t="s">
        <v>25</v>
      </c>
      <c r="I327" t="s">
        <v>26</v>
      </c>
      <c r="J327" t="s">
        <v>81</v>
      </c>
      <c r="K327" t="s">
        <v>81</v>
      </c>
      <c r="L327">
        <v>34846</v>
      </c>
      <c r="M327" t="s">
        <v>62</v>
      </c>
      <c r="N327" t="s">
        <v>1148</v>
      </c>
      <c r="O327" t="s">
        <v>43</v>
      </c>
      <c r="P327" t="s">
        <v>44</v>
      </c>
      <c r="Q327" t="s">
        <v>1527</v>
      </c>
      <c r="R327" t="s">
        <v>1987</v>
      </c>
      <c r="S327">
        <v>6</v>
      </c>
      <c r="T327" s="2">
        <v>0.2</v>
      </c>
      <c r="U327" t="s">
        <v>1988</v>
      </c>
    </row>
    <row r="328" spans="1:21">
      <c r="A328">
        <v>582</v>
      </c>
      <c r="B328" t="s">
        <v>1989</v>
      </c>
      <c r="C328" s="1">
        <v>45160</v>
      </c>
      <c r="D328" s="1">
        <v>45163</v>
      </c>
      <c r="E328" t="s">
        <v>49</v>
      </c>
      <c r="F328" t="s">
        <v>1990</v>
      </c>
      <c r="G328" t="s">
        <v>71</v>
      </c>
      <c r="H328" t="s">
        <v>39</v>
      </c>
      <c r="I328" t="s">
        <v>26</v>
      </c>
      <c r="J328" t="s">
        <v>245</v>
      </c>
      <c r="K328" t="s">
        <v>245</v>
      </c>
      <c r="L328">
        <v>94631</v>
      </c>
      <c r="M328" t="s">
        <v>41</v>
      </c>
      <c r="N328" t="s">
        <v>1991</v>
      </c>
      <c r="O328" t="s">
        <v>64</v>
      </c>
      <c r="P328" t="s">
        <v>105</v>
      </c>
      <c r="Q328" t="s">
        <v>1992</v>
      </c>
      <c r="R328" t="s">
        <v>1993</v>
      </c>
      <c r="S328">
        <v>4</v>
      </c>
      <c r="T328" s="2">
        <v>0</v>
      </c>
      <c r="U328" t="s">
        <v>1994</v>
      </c>
    </row>
    <row r="329" spans="1:21">
      <c r="A329">
        <v>313</v>
      </c>
      <c r="B329" t="s">
        <v>1995</v>
      </c>
      <c r="C329" s="1">
        <v>45160</v>
      </c>
      <c r="D329" s="1">
        <v>45164</v>
      </c>
      <c r="E329" t="s">
        <v>49</v>
      </c>
      <c r="F329" t="s">
        <v>1996</v>
      </c>
      <c r="G329" t="s">
        <v>1997</v>
      </c>
      <c r="H329" t="s">
        <v>39</v>
      </c>
      <c r="I329" t="s">
        <v>26</v>
      </c>
      <c r="J329" t="s">
        <v>212</v>
      </c>
      <c r="K329" t="s">
        <v>212</v>
      </c>
      <c r="L329">
        <v>13174</v>
      </c>
      <c r="M329" t="s">
        <v>28</v>
      </c>
      <c r="N329" t="s">
        <v>1998</v>
      </c>
      <c r="O329" t="s">
        <v>64</v>
      </c>
      <c r="P329" t="s">
        <v>136</v>
      </c>
      <c r="Q329" t="s">
        <v>1539</v>
      </c>
      <c r="R329" t="s">
        <v>1999</v>
      </c>
      <c r="S329">
        <v>1</v>
      </c>
      <c r="T329" s="2">
        <v>0.15</v>
      </c>
      <c r="U329" t="s">
        <v>2000</v>
      </c>
    </row>
    <row r="330" spans="1:21">
      <c r="A330">
        <v>509</v>
      </c>
      <c r="B330" t="s">
        <v>2001</v>
      </c>
      <c r="C330" s="1">
        <v>45161</v>
      </c>
      <c r="D330" s="1">
        <v>45163</v>
      </c>
      <c r="E330" t="s">
        <v>49</v>
      </c>
      <c r="F330" t="s">
        <v>2002</v>
      </c>
      <c r="G330" t="s">
        <v>1657</v>
      </c>
      <c r="H330" t="s">
        <v>39</v>
      </c>
      <c r="I330" t="s">
        <v>26</v>
      </c>
      <c r="J330" t="s">
        <v>52</v>
      </c>
      <c r="K330" t="s">
        <v>52</v>
      </c>
      <c r="L330">
        <v>56835</v>
      </c>
      <c r="M330" t="s">
        <v>41</v>
      </c>
      <c r="N330" t="s">
        <v>2003</v>
      </c>
      <c r="O330" t="s">
        <v>43</v>
      </c>
      <c r="P330" t="s">
        <v>166</v>
      </c>
      <c r="Q330" t="s">
        <v>2004</v>
      </c>
      <c r="R330" t="s">
        <v>2005</v>
      </c>
      <c r="S330">
        <v>2</v>
      </c>
      <c r="T330" s="2">
        <v>0</v>
      </c>
      <c r="U330" t="s">
        <v>282</v>
      </c>
    </row>
    <row r="331" spans="1:21">
      <c r="A331">
        <v>457</v>
      </c>
      <c r="B331" t="s">
        <v>2006</v>
      </c>
      <c r="C331" s="1">
        <v>45161</v>
      </c>
      <c r="D331" s="1">
        <v>45164</v>
      </c>
      <c r="E331" t="s">
        <v>36</v>
      </c>
      <c r="F331" t="s">
        <v>2007</v>
      </c>
      <c r="G331" t="s">
        <v>1025</v>
      </c>
      <c r="H331" t="s">
        <v>60</v>
      </c>
      <c r="I331" t="s">
        <v>26</v>
      </c>
      <c r="J331" t="s">
        <v>641</v>
      </c>
      <c r="K331" t="s">
        <v>641</v>
      </c>
      <c r="L331">
        <v>47606</v>
      </c>
      <c r="M331" t="s">
        <v>62</v>
      </c>
      <c r="N331" t="s">
        <v>2008</v>
      </c>
      <c r="O331" t="s">
        <v>43</v>
      </c>
      <c r="P331" t="s">
        <v>214</v>
      </c>
      <c r="Q331" t="s">
        <v>413</v>
      </c>
      <c r="R331" t="s">
        <v>2009</v>
      </c>
      <c r="S331">
        <v>5</v>
      </c>
      <c r="T331" s="2">
        <v>0.3</v>
      </c>
      <c r="U331" t="s">
        <v>2010</v>
      </c>
    </row>
    <row r="332" spans="1:21">
      <c r="A332">
        <v>40</v>
      </c>
      <c r="B332" t="s">
        <v>2011</v>
      </c>
      <c r="C332" s="1">
        <v>45165</v>
      </c>
      <c r="D332" s="1">
        <v>45168</v>
      </c>
      <c r="E332" t="s">
        <v>36</v>
      </c>
      <c r="F332" t="s">
        <v>2012</v>
      </c>
      <c r="G332" t="s">
        <v>541</v>
      </c>
      <c r="H332" t="s">
        <v>39</v>
      </c>
      <c r="I332" t="s">
        <v>26</v>
      </c>
      <c r="J332" t="s">
        <v>81</v>
      </c>
      <c r="K332" t="s">
        <v>81</v>
      </c>
      <c r="L332">
        <v>29262</v>
      </c>
      <c r="M332" t="s">
        <v>62</v>
      </c>
      <c r="N332" t="s">
        <v>965</v>
      </c>
      <c r="O332" t="s">
        <v>30</v>
      </c>
      <c r="P332" t="s">
        <v>31</v>
      </c>
      <c r="Q332" t="s">
        <v>2013</v>
      </c>
      <c r="R332" t="s">
        <v>2014</v>
      </c>
      <c r="S332">
        <v>2</v>
      </c>
      <c r="T332" s="2">
        <v>0.2</v>
      </c>
      <c r="U332" t="s">
        <v>2015</v>
      </c>
    </row>
    <row r="333" spans="1:21">
      <c r="A333">
        <v>183</v>
      </c>
      <c r="B333" t="s">
        <v>2016</v>
      </c>
      <c r="C333" s="1">
        <v>45166</v>
      </c>
      <c r="D333" s="1">
        <v>45169</v>
      </c>
      <c r="E333" t="s">
        <v>36</v>
      </c>
      <c r="F333" t="s">
        <v>2017</v>
      </c>
      <c r="G333" t="s">
        <v>384</v>
      </c>
      <c r="H333" t="s">
        <v>25</v>
      </c>
      <c r="I333" t="s">
        <v>26</v>
      </c>
      <c r="J333" t="s">
        <v>260</v>
      </c>
      <c r="K333" t="s">
        <v>260</v>
      </c>
      <c r="L333">
        <v>73811</v>
      </c>
      <c r="M333" t="s">
        <v>41</v>
      </c>
      <c r="N333" t="s">
        <v>1901</v>
      </c>
      <c r="O333" t="s">
        <v>43</v>
      </c>
      <c r="P333" t="s">
        <v>44</v>
      </c>
      <c r="Q333" t="s">
        <v>2018</v>
      </c>
      <c r="R333" t="s">
        <v>2019</v>
      </c>
      <c r="S333">
        <v>1</v>
      </c>
      <c r="T333" s="2">
        <v>0.3</v>
      </c>
      <c r="U333" t="s">
        <v>2020</v>
      </c>
    </row>
    <row r="334" spans="1:21">
      <c r="A334">
        <v>424</v>
      </c>
      <c r="B334" t="s">
        <v>2021</v>
      </c>
      <c r="C334" s="1">
        <v>45166</v>
      </c>
      <c r="D334" s="1">
        <v>45168</v>
      </c>
      <c r="E334" t="s">
        <v>36</v>
      </c>
      <c r="F334" t="s">
        <v>2022</v>
      </c>
      <c r="G334" t="s">
        <v>750</v>
      </c>
      <c r="H334" t="s">
        <v>39</v>
      </c>
      <c r="I334" t="s">
        <v>26</v>
      </c>
      <c r="J334" t="s">
        <v>363</v>
      </c>
      <c r="K334" t="s">
        <v>363</v>
      </c>
      <c r="L334">
        <v>92999</v>
      </c>
      <c r="M334" t="s">
        <v>62</v>
      </c>
      <c r="N334" t="s">
        <v>2023</v>
      </c>
      <c r="O334" t="s">
        <v>30</v>
      </c>
      <c r="P334" t="s">
        <v>197</v>
      </c>
      <c r="Q334" t="s">
        <v>2024</v>
      </c>
      <c r="R334" t="s">
        <v>2025</v>
      </c>
      <c r="S334">
        <v>6</v>
      </c>
      <c r="T334" s="2">
        <v>0.2</v>
      </c>
      <c r="U334" t="s">
        <v>2026</v>
      </c>
    </row>
    <row r="335" spans="1:21">
      <c r="A335">
        <v>253</v>
      </c>
      <c r="B335" t="s">
        <v>2027</v>
      </c>
      <c r="C335" s="1">
        <v>45169</v>
      </c>
      <c r="D335" s="1">
        <v>45171</v>
      </c>
      <c r="E335" t="s">
        <v>49</v>
      </c>
      <c r="F335" t="s">
        <v>2028</v>
      </c>
      <c r="G335" t="s">
        <v>2029</v>
      </c>
      <c r="H335" t="s">
        <v>39</v>
      </c>
      <c r="I335" t="s">
        <v>26</v>
      </c>
      <c r="J335" t="s">
        <v>157</v>
      </c>
      <c r="K335" t="s">
        <v>157</v>
      </c>
      <c r="L335">
        <v>50469</v>
      </c>
      <c r="M335" t="s">
        <v>62</v>
      </c>
      <c r="N335" t="s">
        <v>2030</v>
      </c>
      <c r="O335" t="s">
        <v>43</v>
      </c>
      <c r="P335" t="s">
        <v>166</v>
      </c>
      <c r="Q335" t="s">
        <v>2031</v>
      </c>
      <c r="R335" t="s">
        <v>2032</v>
      </c>
      <c r="S335">
        <v>4</v>
      </c>
      <c r="T335" s="2">
        <v>0.1</v>
      </c>
      <c r="U335" t="s">
        <v>2033</v>
      </c>
    </row>
    <row r="336" spans="1:21">
      <c r="A336">
        <v>236</v>
      </c>
      <c r="B336" t="s">
        <v>2034</v>
      </c>
      <c r="C336" s="1">
        <v>45169</v>
      </c>
      <c r="D336" s="1">
        <v>45172</v>
      </c>
      <c r="E336" t="s">
        <v>49</v>
      </c>
      <c r="F336" t="s">
        <v>2035</v>
      </c>
      <c r="G336" t="s">
        <v>203</v>
      </c>
      <c r="H336" t="s">
        <v>39</v>
      </c>
      <c r="I336" t="s">
        <v>26</v>
      </c>
      <c r="J336" t="s">
        <v>61</v>
      </c>
      <c r="K336" t="s">
        <v>61</v>
      </c>
      <c r="L336">
        <v>41027</v>
      </c>
      <c r="M336" t="s">
        <v>62</v>
      </c>
      <c r="N336" t="s">
        <v>2036</v>
      </c>
      <c r="O336" t="s">
        <v>64</v>
      </c>
      <c r="P336" t="s">
        <v>65</v>
      </c>
      <c r="Q336" t="s">
        <v>2037</v>
      </c>
      <c r="R336" t="s">
        <v>2038</v>
      </c>
      <c r="S336">
        <v>4</v>
      </c>
      <c r="T336" s="2">
        <v>0.2</v>
      </c>
      <c r="U336" t="s">
        <v>2039</v>
      </c>
    </row>
    <row r="337" spans="1:21">
      <c r="A337">
        <v>316</v>
      </c>
      <c r="B337" t="s">
        <v>2040</v>
      </c>
      <c r="C337" s="1">
        <v>45170</v>
      </c>
      <c r="D337" s="1">
        <v>45172</v>
      </c>
      <c r="E337" t="s">
        <v>36</v>
      </c>
      <c r="F337" t="s">
        <v>2041</v>
      </c>
      <c r="G337" t="s">
        <v>458</v>
      </c>
      <c r="H337" t="s">
        <v>25</v>
      </c>
      <c r="I337" t="s">
        <v>26</v>
      </c>
      <c r="J337" t="s">
        <v>173</v>
      </c>
      <c r="K337" t="s">
        <v>173</v>
      </c>
      <c r="L337">
        <v>78244</v>
      </c>
      <c r="M337" t="s">
        <v>73</v>
      </c>
      <c r="N337" t="s">
        <v>2042</v>
      </c>
      <c r="O337" t="s">
        <v>64</v>
      </c>
      <c r="P337" t="s">
        <v>105</v>
      </c>
      <c r="Q337" t="s">
        <v>2043</v>
      </c>
      <c r="R337" t="s">
        <v>2044</v>
      </c>
      <c r="S337">
        <v>6</v>
      </c>
      <c r="T337" s="2">
        <v>0.05</v>
      </c>
      <c r="U337" t="s">
        <v>2045</v>
      </c>
    </row>
    <row r="338" spans="1:21">
      <c r="A338">
        <v>400</v>
      </c>
      <c r="B338" t="s">
        <v>2046</v>
      </c>
      <c r="C338" s="1">
        <v>45173</v>
      </c>
      <c r="D338" s="1">
        <v>45176</v>
      </c>
      <c r="E338" t="s">
        <v>36</v>
      </c>
      <c r="F338" t="s">
        <v>2047</v>
      </c>
      <c r="G338" t="s">
        <v>384</v>
      </c>
      <c r="H338" t="s">
        <v>25</v>
      </c>
      <c r="I338" t="s">
        <v>26</v>
      </c>
      <c r="J338" t="s">
        <v>641</v>
      </c>
      <c r="K338" t="s">
        <v>641</v>
      </c>
      <c r="L338">
        <v>86631</v>
      </c>
      <c r="M338" t="s">
        <v>62</v>
      </c>
      <c r="N338" t="s">
        <v>953</v>
      </c>
      <c r="O338" t="s">
        <v>43</v>
      </c>
      <c r="P338" t="s">
        <v>44</v>
      </c>
      <c r="Q338" t="s">
        <v>1420</v>
      </c>
      <c r="R338" t="s">
        <v>2048</v>
      </c>
      <c r="S338">
        <v>6</v>
      </c>
      <c r="T338" s="2">
        <v>0.3</v>
      </c>
      <c r="U338" t="s">
        <v>2049</v>
      </c>
    </row>
    <row r="339" spans="1:21">
      <c r="A339">
        <v>238</v>
      </c>
      <c r="B339" t="s">
        <v>2050</v>
      </c>
      <c r="C339" s="1">
        <v>45176</v>
      </c>
      <c r="D339" s="1">
        <v>45178</v>
      </c>
      <c r="E339" t="s">
        <v>36</v>
      </c>
      <c r="F339" t="s">
        <v>2051</v>
      </c>
      <c r="G339" t="s">
        <v>713</v>
      </c>
      <c r="H339" t="s">
        <v>39</v>
      </c>
      <c r="I339" t="s">
        <v>26</v>
      </c>
      <c r="J339" t="s">
        <v>229</v>
      </c>
      <c r="K339" t="s">
        <v>229</v>
      </c>
      <c r="L339">
        <v>33383</v>
      </c>
      <c r="M339" t="s">
        <v>73</v>
      </c>
      <c r="N339" t="s">
        <v>1728</v>
      </c>
      <c r="O339" t="s">
        <v>30</v>
      </c>
      <c r="P339" t="s">
        <v>197</v>
      </c>
      <c r="Q339" t="s">
        <v>2052</v>
      </c>
      <c r="R339" t="s">
        <v>2053</v>
      </c>
      <c r="S339">
        <v>5</v>
      </c>
      <c r="T339" s="2">
        <v>0.3</v>
      </c>
      <c r="U339" t="s">
        <v>2054</v>
      </c>
    </row>
    <row r="340" spans="1:21">
      <c r="A340">
        <v>91</v>
      </c>
      <c r="B340" t="s">
        <v>2055</v>
      </c>
      <c r="C340" s="1">
        <v>45181</v>
      </c>
      <c r="D340" s="1">
        <v>45184</v>
      </c>
      <c r="E340" t="s">
        <v>36</v>
      </c>
      <c r="F340" t="s">
        <v>2056</v>
      </c>
      <c r="G340" t="s">
        <v>876</v>
      </c>
      <c r="H340" t="s">
        <v>25</v>
      </c>
      <c r="I340" t="s">
        <v>26</v>
      </c>
      <c r="J340" t="s">
        <v>204</v>
      </c>
      <c r="K340" t="s">
        <v>204</v>
      </c>
      <c r="L340">
        <v>45057</v>
      </c>
      <c r="M340" t="s">
        <v>28</v>
      </c>
      <c r="N340" t="s">
        <v>2057</v>
      </c>
      <c r="O340" t="s">
        <v>30</v>
      </c>
      <c r="P340" t="s">
        <v>197</v>
      </c>
      <c r="Q340" t="s">
        <v>494</v>
      </c>
      <c r="R340" t="s">
        <v>2058</v>
      </c>
      <c r="S340">
        <v>1</v>
      </c>
      <c r="T340" s="2">
        <v>0.15</v>
      </c>
      <c r="U340" t="s">
        <v>2059</v>
      </c>
    </row>
    <row r="341" spans="1:21">
      <c r="A341">
        <v>439</v>
      </c>
      <c r="B341" t="s">
        <v>2060</v>
      </c>
      <c r="C341" s="1">
        <v>45182</v>
      </c>
      <c r="D341" s="1">
        <v>45184</v>
      </c>
      <c r="E341" t="s">
        <v>36</v>
      </c>
      <c r="F341" t="s">
        <v>2061</v>
      </c>
      <c r="G341" t="s">
        <v>1503</v>
      </c>
      <c r="H341" t="s">
        <v>25</v>
      </c>
      <c r="I341" t="s">
        <v>26</v>
      </c>
      <c r="J341" t="s">
        <v>72</v>
      </c>
      <c r="K341" t="s">
        <v>72</v>
      </c>
      <c r="L341">
        <v>42222</v>
      </c>
      <c r="M341" t="s">
        <v>73</v>
      </c>
      <c r="N341" t="s">
        <v>2062</v>
      </c>
      <c r="O341" t="s">
        <v>30</v>
      </c>
      <c r="P341" t="s">
        <v>197</v>
      </c>
      <c r="Q341" t="s">
        <v>2063</v>
      </c>
      <c r="R341" t="s">
        <v>2064</v>
      </c>
      <c r="S341">
        <v>7</v>
      </c>
      <c r="T341" s="2">
        <v>0.3</v>
      </c>
      <c r="U341" t="s">
        <v>2065</v>
      </c>
    </row>
    <row r="342" spans="1:21">
      <c r="A342">
        <v>468</v>
      </c>
      <c r="B342" t="s">
        <v>2066</v>
      </c>
      <c r="C342" s="1">
        <v>45184</v>
      </c>
      <c r="D342" s="1">
        <v>45190</v>
      </c>
      <c r="E342" t="s">
        <v>49</v>
      </c>
      <c r="F342" t="s">
        <v>2067</v>
      </c>
      <c r="G342" t="s">
        <v>329</v>
      </c>
      <c r="H342" t="s">
        <v>25</v>
      </c>
      <c r="I342" t="s">
        <v>26</v>
      </c>
      <c r="J342" t="s">
        <v>150</v>
      </c>
      <c r="K342" t="s">
        <v>150</v>
      </c>
      <c r="L342">
        <v>22612</v>
      </c>
      <c r="M342" t="s">
        <v>73</v>
      </c>
      <c r="N342" t="s">
        <v>2068</v>
      </c>
      <c r="O342" t="s">
        <v>43</v>
      </c>
      <c r="P342" t="s">
        <v>166</v>
      </c>
      <c r="Q342" t="s">
        <v>459</v>
      </c>
      <c r="R342" t="s">
        <v>2069</v>
      </c>
      <c r="S342">
        <v>3</v>
      </c>
      <c r="T342" s="2">
        <v>0.1</v>
      </c>
      <c r="U342" t="s">
        <v>131</v>
      </c>
    </row>
    <row r="343" spans="1:21">
      <c r="A343">
        <v>467</v>
      </c>
      <c r="B343" t="s">
        <v>2070</v>
      </c>
      <c r="C343" s="1">
        <v>45187</v>
      </c>
      <c r="D343" s="1">
        <v>45191</v>
      </c>
      <c r="E343" t="s">
        <v>36</v>
      </c>
      <c r="F343" t="s">
        <v>2071</v>
      </c>
      <c r="G343" t="s">
        <v>1519</v>
      </c>
      <c r="H343" t="s">
        <v>25</v>
      </c>
      <c r="I343" t="s">
        <v>26</v>
      </c>
      <c r="J343" t="s">
        <v>173</v>
      </c>
      <c r="K343" t="s">
        <v>173</v>
      </c>
      <c r="L343">
        <v>83914</v>
      </c>
      <c r="M343" t="s">
        <v>73</v>
      </c>
      <c r="N343" t="s">
        <v>2072</v>
      </c>
      <c r="O343" t="s">
        <v>30</v>
      </c>
      <c r="P343" t="s">
        <v>222</v>
      </c>
      <c r="Q343" t="s">
        <v>934</v>
      </c>
      <c r="R343" t="s">
        <v>2073</v>
      </c>
      <c r="S343">
        <v>2</v>
      </c>
      <c r="T343" s="2">
        <v>0.4</v>
      </c>
      <c r="U343" t="s">
        <v>2074</v>
      </c>
    </row>
    <row r="344" spans="1:21">
      <c r="A344">
        <v>590</v>
      </c>
      <c r="B344" t="s">
        <v>2075</v>
      </c>
      <c r="C344" s="1">
        <v>45188</v>
      </c>
      <c r="D344" s="1">
        <v>45190</v>
      </c>
      <c r="E344" t="s">
        <v>36</v>
      </c>
      <c r="F344" t="s">
        <v>2076</v>
      </c>
      <c r="G344" t="s">
        <v>1226</v>
      </c>
      <c r="H344" t="s">
        <v>60</v>
      </c>
      <c r="I344" t="s">
        <v>26</v>
      </c>
      <c r="J344" t="s">
        <v>301</v>
      </c>
      <c r="K344" t="s">
        <v>301</v>
      </c>
      <c r="L344">
        <v>14781</v>
      </c>
      <c r="M344" t="s">
        <v>73</v>
      </c>
      <c r="N344" t="s">
        <v>2077</v>
      </c>
      <c r="O344" t="s">
        <v>64</v>
      </c>
      <c r="P344" t="s">
        <v>65</v>
      </c>
      <c r="Q344" t="s">
        <v>1052</v>
      </c>
      <c r="R344" t="s">
        <v>847</v>
      </c>
      <c r="S344">
        <v>1</v>
      </c>
      <c r="T344" s="2">
        <v>0.3</v>
      </c>
      <c r="U344" t="s">
        <v>2078</v>
      </c>
    </row>
    <row r="345" spans="1:21">
      <c r="A345">
        <v>67</v>
      </c>
      <c r="B345" t="s">
        <v>2079</v>
      </c>
      <c r="C345" s="1">
        <v>45190</v>
      </c>
      <c r="D345" s="1">
        <v>45194</v>
      </c>
      <c r="E345" t="s">
        <v>49</v>
      </c>
      <c r="F345" t="s">
        <v>2080</v>
      </c>
      <c r="G345" t="s">
        <v>1496</v>
      </c>
      <c r="H345" t="s">
        <v>25</v>
      </c>
      <c r="I345" t="s">
        <v>26</v>
      </c>
      <c r="J345" t="s">
        <v>40</v>
      </c>
      <c r="K345" t="s">
        <v>40</v>
      </c>
      <c r="L345">
        <v>67132</v>
      </c>
      <c r="M345" t="s">
        <v>41</v>
      </c>
      <c r="N345" t="s">
        <v>2081</v>
      </c>
      <c r="O345" t="s">
        <v>64</v>
      </c>
      <c r="P345" t="s">
        <v>136</v>
      </c>
      <c r="Q345" t="s">
        <v>2082</v>
      </c>
      <c r="R345" t="s">
        <v>2083</v>
      </c>
      <c r="S345">
        <v>1</v>
      </c>
      <c r="T345" s="2">
        <v>0.2</v>
      </c>
      <c r="U345" t="s">
        <v>2084</v>
      </c>
    </row>
    <row r="346" spans="1:21">
      <c r="A346">
        <v>485</v>
      </c>
      <c r="B346" t="s">
        <v>2085</v>
      </c>
      <c r="C346" s="1">
        <v>45200</v>
      </c>
      <c r="D346" s="1">
        <v>45203</v>
      </c>
      <c r="E346" t="s">
        <v>36</v>
      </c>
      <c r="F346" t="s">
        <v>2086</v>
      </c>
      <c r="G346" t="s">
        <v>336</v>
      </c>
      <c r="H346" t="s">
        <v>25</v>
      </c>
      <c r="I346" t="s">
        <v>26</v>
      </c>
      <c r="J346" t="s">
        <v>150</v>
      </c>
      <c r="K346" t="s">
        <v>150</v>
      </c>
      <c r="L346">
        <v>28157</v>
      </c>
      <c r="M346" t="s">
        <v>73</v>
      </c>
      <c r="N346" t="s">
        <v>2062</v>
      </c>
      <c r="O346" t="s">
        <v>30</v>
      </c>
      <c r="P346" t="s">
        <v>222</v>
      </c>
      <c r="Q346" t="s">
        <v>288</v>
      </c>
      <c r="R346" t="s">
        <v>2087</v>
      </c>
      <c r="S346">
        <v>1</v>
      </c>
      <c r="T346" s="2">
        <v>0.1</v>
      </c>
      <c r="U346" t="s">
        <v>2088</v>
      </c>
    </row>
    <row r="347" spans="1:21">
      <c r="A347">
        <v>386</v>
      </c>
      <c r="B347" t="s">
        <v>2089</v>
      </c>
      <c r="C347" s="1">
        <v>45200</v>
      </c>
      <c r="D347" s="1">
        <v>45204</v>
      </c>
      <c r="E347" t="s">
        <v>36</v>
      </c>
      <c r="F347" t="s">
        <v>2090</v>
      </c>
      <c r="G347" t="s">
        <v>1452</v>
      </c>
      <c r="H347" t="s">
        <v>39</v>
      </c>
      <c r="I347" t="s">
        <v>26</v>
      </c>
      <c r="J347" t="s">
        <v>363</v>
      </c>
      <c r="K347" t="s">
        <v>363</v>
      </c>
      <c r="L347">
        <v>15796</v>
      </c>
      <c r="M347" t="s">
        <v>62</v>
      </c>
      <c r="N347" t="s">
        <v>2091</v>
      </c>
      <c r="O347" t="s">
        <v>64</v>
      </c>
      <c r="P347" t="s">
        <v>105</v>
      </c>
      <c r="Q347" t="s">
        <v>2092</v>
      </c>
      <c r="R347" t="s">
        <v>2093</v>
      </c>
      <c r="S347">
        <v>3</v>
      </c>
      <c r="T347" s="2">
        <v>0.05</v>
      </c>
      <c r="U347" t="s">
        <v>1908</v>
      </c>
    </row>
    <row r="348" spans="1:21">
      <c r="A348">
        <v>438</v>
      </c>
      <c r="B348" t="s">
        <v>2094</v>
      </c>
      <c r="C348" s="1">
        <v>45200</v>
      </c>
      <c r="D348" s="1">
        <v>45206</v>
      </c>
      <c r="E348" t="s">
        <v>36</v>
      </c>
      <c r="F348" t="s">
        <v>2095</v>
      </c>
      <c r="G348" t="s">
        <v>707</v>
      </c>
      <c r="H348" t="s">
        <v>25</v>
      </c>
      <c r="I348" t="s">
        <v>26</v>
      </c>
      <c r="J348" t="s">
        <v>641</v>
      </c>
      <c r="K348" t="s">
        <v>641</v>
      </c>
      <c r="L348">
        <v>20974</v>
      </c>
      <c r="M348" t="s">
        <v>62</v>
      </c>
      <c r="N348" t="s">
        <v>2096</v>
      </c>
      <c r="O348" t="s">
        <v>30</v>
      </c>
      <c r="P348" t="s">
        <v>31</v>
      </c>
      <c r="Q348" t="s">
        <v>2097</v>
      </c>
      <c r="R348" t="s">
        <v>2098</v>
      </c>
      <c r="S348">
        <v>4</v>
      </c>
      <c r="T348" s="2">
        <v>0.3</v>
      </c>
      <c r="U348" t="s">
        <v>2099</v>
      </c>
    </row>
    <row r="349" spans="1:21">
      <c r="A349">
        <v>474</v>
      </c>
      <c r="B349" t="s">
        <v>2100</v>
      </c>
      <c r="C349" s="1">
        <v>45205</v>
      </c>
      <c r="D349" s="1">
        <v>45207</v>
      </c>
      <c r="E349" t="s">
        <v>36</v>
      </c>
      <c r="F349" t="s">
        <v>2101</v>
      </c>
      <c r="G349" t="s">
        <v>458</v>
      </c>
      <c r="H349" t="s">
        <v>39</v>
      </c>
      <c r="I349" t="s">
        <v>26</v>
      </c>
      <c r="J349" t="s">
        <v>229</v>
      </c>
      <c r="K349" t="s">
        <v>229</v>
      </c>
      <c r="L349">
        <v>88287</v>
      </c>
      <c r="M349" t="s">
        <v>73</v>
      </c>
      <c r="N349" t="s">
        <v>1342</v>
      </c>
      <c r="O349" t="s">
        <v>30</v>
      </c>
      <c r="P349" t="s">
        <v>120</v>
      </c>
      <c r="Q349" t="s">
        <v>2102</v>
      </c>
      <c r="R349" t="s">
        <v>2103</v>
      </c>
      <c r="S349">
        <v>1</v>
      </c>
      <c r="T349" s="2">
        <v>0.2</v>
      </c>
      <c r="U349" t="s">
        <v>2104</v>
      </c>
    </row>
    <row r="350" spans="1:21">
      <c r="A350">
        <v>138</v>
      </c>
      <c r="B350" t="s">
        <v>2105</v>
      </c>
      <c r="C350" s="1">
        <v>45207</v>
      </c>
      <c r="D350" s="1">
        <v>45211</v>
      </c>
      <c r="E350" t="s">
        <v>36</v>
      </c>
      <c r="F350" t="s">
        <v>2106</v>
      </c>
      <c r="G350" t="s">
        <v>244</v>
      </c>
      <c r="H350" t="s">
        <v>60</v>
      </c>
      <c r="I350" t="s">
        <v>26</v>
      </c>
      <c r="J350" t="s">
        <v>212</v>
      </c>
      <c r="K350" t="s">
        <v>212</v>
      </c>
      <c r="L350">
        <v>55096</v>
      </c>
      <c r="M350" t="s">
        <v>28</v>
      </c>
      <c r="N350" t="s">
        <v>2107</v>
      </c>
      <c r="O350" t="s">
        <v>64</v>
      </c>
      <c r="P350" t="s">
        <v>136</v>
      </c>
      <c r="Q350" t="s">
        <v>372</v>
      </c>
      <c r="R350" t="s">
        <v>2108</v>
      </c>
      <c r="S350">
        <v>6</v>
      </c>
      <c r="T350" s="2">
        <v>0.3</v>
      </c>
      <c r="U350" t="s">
        <v>2109</v>
      </c>
    </row>
    <row r="351" spans="1:21">
      <c r="A351">
        <v>473</v>
      </c>
      <c r="B351" t="s">
        <v>2110</v>
      </c>
      <c r="C351" s="1">
        <v>45208</v>
      </c>
      <c r="D351" s="1">
        <v>45213</v>
      </c>
      <c r="E351" t="s">
        <v>36</v>
      </c>
      <c r="F351" t="s">
        <v>2111</v>
      </c>
      <c r="G351" t="s">
        <v>713</v>
      </c>
      <c r="H351" t="s">
        <v>60</v>
      </c>
      <c r="I351" t="s">
        <v>26</v>
      </c>
      <c r="J351" t="s">
        <v>438</v>
      </c>
      <c r="K351" t="s">
        <v>438</v>
      </c>
      <c r="L351">
        <v>56874</v>
      </c>
      <c r="M351" t="s">
        <v>28</v>
      </c>
      <c r="N351" t="s">
        <v>2112</v>
      </c>
      <c r="O351" t="s">
        <v>43</v>
      </c>
      <c r="P351" t="s">
        <v>166</v>
      </c>
      <c r="Q351" t="s">
        <v>1594</v>
      </c>
      <c r="R351" t="s">
        <v>1179</v>
      </c>
      <c r="S351">
        <v>6</v>
      </c>
      <c r="T351" s="2">
        <v>0.2</v>
      </c>
      <c r="U351" t="s">
        <v>2113</v>
      </c>
    </row>
    <row r="352" spans="1:21">
      <c r="A352">
        <v>271</v>
      </c>
      <c r="B352" t="s">
        <v>2114</v>
      </c>
      <c r="C352" s="1">
        <v>45214</v>
      </c>
      <c r="D352" s="1">
        <v>45218</v>
      </c>
      <c r="E352" t="s">
        <v>49</v>
      </c>
      <c r="F352" t="s">
        <v>2115</v>
      </c>
      <c r="G352" t="s">
        <v>775</v>
      </c>
      <c r="H352" t="s">
        <v>25</v>
      </c>
      <c r="I352" t="s">
        <v>26</v>
      </c>
      <c r="J352" t="s">
        <v>72</v>
      </c>
      <c r="K352" t="s">
        <v>72</v>
      </c>
      <c r="L352">
        <v>23331</v>
      </c>
      <c r="M352" t="s">
        <v>73</v>
      </c>
      <c r="N352" t="s">
        <v>2116</v>
      </c>
      <c r="O352" t="s">
        <v>30</v>
      </c>
      <c r="P352" t="s">
        <v>120</v>
      </c>
      <c r="Q352" t="s">
        <v>2117</v>
      </c>
      <c r="R352" t="s">
        <v>2118</v>
      </c>
      <c r="S352">
        <v>4</v>
      </c>
      <c r="T352" s="2">
        <v>0.15</v>
      </c>
      <c r="U352" t="s">
        <v>2119</v>
      </c>
    </row>
    <row r="353" spans="1:21">
      <c r="A353">
        <v>32</v>
      </c>
      <c r="B353" t="s">
        <v>2120</v>
      </c>
      <c r="C353" s="1">
        <v>45217</v>
      </c>
      <c r="D353" s="1">
        <v>45221</v>
      </c>
      <c r="E353" t="s">
        <v>36</v>
      </c>
      <c r="F353" t="s">
        <v>2121</v>
      </c>
      <c r="G353" t="s">
        <v>2122</v>
      </c>
      <c r="H353" t="s">
        <v>25</v>
      </c>
      <c r="I353" t="s">
        <v>26</v>
      </c>
      <c r="J353" t="s">
        <v>40</v>
      </c>
      <c r="K353" t="s">
        <v>40</v>
      </c>
      <c r="L353">
        <v>14835</v>
      </c>
      <c r="M353" t="s">
        <v>41</v>
      </c>
      <c r="N353" t="s">
        <v>595</v>
      </c>
      <c r="O353" t="s">
        <v>30</v>
      </c>
      <c r="P353" t="s">
        <v>120</v>
      </c>
      <c r="Q353" t="s">
        <v>2123</v>
      </c>
      <c r="R353" t="s">
        <v>2124</v>
      </c>
      <c r="S353">
        <v>2</v>
      </c>
      <c r="T353" s="2">
        <v>0.05</v>
      </c>
      <c r="U353" t="s">
        <v>2125</v>
      </c>
    </row>
    <row r="354" spans="1:21">
      <c r="A354">
        <v>584</v>
      </c>
      <c r="B354" t="s">
        <v>2126</v>
      </c>
      <c r="C354" s="1">
        <v>45219</v>
      </c>
      <c r="D354" s="1">
        <v>45221</v>
      </c>
      <c r="E354" t="s">
        <v>36</v>
      </c>
      <c r="F354" t="s">
        <v>2127</v>
      </c>
      <c r="G354" t="s">
        <v>1572</v>
      </c>
      <c r="H354" t="s">
        <v>60</v>
      </c>
      <c r="I354" t="s">
        <v>26</v>
      </c>
      <c r="J354" t="s">
        <v>157</v>
      </c>
      <c r="K354" t="s">
        <v>157</v>
      </c>
      <c r="L354">
        <v>11999</v>
      </c>
      <c r="M354" t="s">
        <v>62</v>
      </c>
      <c r="N354" t="s">
        <v>1526</v>
      </c>
      <c r="O354" t="s">
        <v>43</v>
      </c>
      <c r="P354" t="s">
        <v>44</v>
      </c>
      <c r="Q354" t="s">
        <v>1420</v>
      </c>
      <c r="R354" t="s">
        <v>2128</v>
      </c>
      <c r="S354">
        <v>6</v>
      </c>
      <c r="T354" s="2">
        <v>0.1</v>
      </c>
      <c r="U354" t="s">
        <v>2129</v>
      </c>
    </row>
    <row r="355" spans="1:21">
      <c r="A355">
        <v>142</v>
      </c>
      <c r="B355" t="s">
        <v>2130</v>
      </c>
      <c r="C355" s="1">
        <v>45223</v>
      </c>
      <c r="D355" s="1">
        <v>45228</v>
      </c>
      <c r="E355" t="s">
        <v>49</v>
      </c>
      <c r="F355" t="s">
        <v>2131</v>
      </c>
      <c r="G355" t="s">
        <v>648</v>
      </c>
      <c r="H355" t="s">
        <v>39</v>
      </c>
      <c r="I355" t="s">
        <v>26</v>
      </c>
      <c r="J355" t="s">
        <v>40</v>
      </c>
      <c r="K355" t="s">
        <v>40</v>
      </c>
      <c r="L355">
        <v>62142</v>
      </c>
      <c r="M355" t="s">
        <v>41</v>
      </c>
      <c r="N355" t="s">
        <v>2132</v>
      </c>
      <c r="O355" t="s">
        <v>64</v>
      </c>
      <c r="P355" t="s">
        <v>405</v>
      </c>
      <c r="Q355" t="s">
        <v>480</v>
      </c>
      <c r="R355" t="s">
        <v>2133</v>
      </c>
      <c r="S355">
        <v>6</v>
      </c>
      <c r="T355" s="2">
        <v>0.2</v>
      </c>
      <c r="U355" t="s">
        <v>2134</v>
      </c>
    </row>
    <row r="356" spans="1:21">
      <c r="A356">
        <v>558</v>
      </c>
      <c r="B356" t="s">
        <v>2135</v>
      </c>
      <c r="C356" s="1">
        <v>45229</v>
      </c>
      <c r="D356" s="1">
        <v>45232</v>
      </c>
      <c r="E356" t="s">
        <v>22</v>
      </c>
      <c r="F356" t="s">
        <v>2136</v>
      </c>
      <c r="G356" t="s">
        <v>244</v>
      </c>
      <c r="H356" t="s">
        <v>60</v>
      </c>
      <c r="I356" t="s">
        <v>26</v>
      </c>
      <c r="J356" t="s">
        <v>52</v>
      </c>
      <c r="K356" t="s">
        <v>52</v>
      </c>
      <c r="L356">
        <v>77936</v>
      </c>
      <c r="M356" t="s">
        <v>41</v>
      </c>
      <c r="N356" t="s">
        <v>2137</v>
      </c>
      <c r="O356" t="s">
        <v>30</v>
      </c>
      <c r="P356" t="s">
        <v>31</v>
      </c>
      <c r="Q356" t="s">
        <v>386</v>
      </c>
      <c r="R356" t="s">
        <v>2138</v>
      </c>
      <c r="S356">
        <v>6</v>
      </c>
      <c r="T356" s="2">
        <v>0.1</v>
      </c>
      <c r="U356" t="s">
        <v>558</v>
      </c>
    </row>
    <row r="357" spans="1:21">
      <c r="A357">
        <v>137</v>
      </c>
      <c r="B357" t="s">
        <v>2139</v>
      </c>
      <c r="C357" s="1">
        <v>45231</v>
      </c>
      <c r="D357" s="1">
        <v>45235</v>
      </c>
      <c r="E357" t="s">
        <v>36</v>
      </c>
      <c r="F357" t="s">
        <v>2140</v>
      </c>
      <c r="G357" t="s">
        <v>1110</v>
      </c>
      <c r="H357" t="s">
        <v>25</v>
      </c>
      <c r="I357" t="s">
        <v>26</v>
      </c>
      <c r="J357" t="s">
        <v>96</v>
      </c>
      <c r="K357" t="s">
        <v>96</v>
      </c>
      <c r="L357">
        <v>19587</v>
      </c>
      <c r="M357" t="s">
        <v>28</v>
      </c>
      <c r="N357" t="s">
        <v>2141</v>
      </c>
      <c r="O357" t="s">
        <v>64</v>
      </c>
      <c r="P357" t="s">
        <v>136</v>
      </c>
      <c r="Q357" t="s">
        <v>765</v>
      </c>
      <c r="R357" t="s">
        <v>2142</v>
      </c>
      <c r="S357">
        <v>3</v>
      </c>
      <c r="T357" s="2">
        <v>0.15</v>
      </c>
      <c r="U357" t="s">
        <v>2143</v>
      </c>
    </row>
    <row r="358" spans="1:21">
      <c r="A358">
        <v>105</v>
      </c>
      <c r="B358" t="s">
        <v>2144</v>
      </c>
      <c r="C358" s="1">
        <v>45231</v>
      </c>
      <c r="D358" s="1">
        <v>45234</v>
      </c>
      <c r="E358" t="s">
        <v>49</v>
      </c>
      <c r="F358" t="s">
        <v>2145</v>
      </c>
      <c r="G358" t="s">
        <v>362</v>
      </c>
      <c r="H358" t="s">
        <v>39</v>
      </c>
      <c r="I358" t="s">
        <v>26</v>
      </c>
      <c r="J358" t="s">
        <v>212</v>
      </c>
      <c r="K358" t="s">
        <v>212</v>
      </c>
      <c r="L358">
        <v>86559</v>
      </c>
      <c r="M358" t="s">
        <v>28</v>
      </c>
      <c r="N358" t="s">
        <v>2146</v>
      </c>
      <c r="O358" t="s">
        <v>30</v>
      </c>
      <c r="P358" t="s">
        <v>120</v>
      </c>
      <c r="Q358" t="s">
        <v>2147</v>
      </c>
      <c r="R358" t="s">
        <v>2148</v>
      </c>
      <c r="S358">
        <v>4</v>
      </c>
      <c r="T358" s="2">
        <v>0.2</v>
      </c>
      <c r="U358" t="s">
        <v>2149</v>
      </c>
    </row>
    <row r="359" spans="1:21">
      <c r="A359">
        <v>266</v>
      </c>
      <c r="B359" t="s">
        <v>2150</v>
      </c>
      <c r="C359" s="1">
        <v>45235</v>
      </c>
      <c r="D359" s="1">
        <v>45240</v>
      </c>
      <c r="E359" t="s">
        <v>36</v>
      </c>
      <c r="F359" t="s">
        <v>2151</v>
      </c>
      <c r="G359" t="s">
        <v>1076</v>
      </c>
      <c r="H359" t="s">
        <v>39</v>
      </c>
      <c r="I359" t="s">
        <v>26</v>
      </c>
      <c r="J359" t="s">
        <v>212</v>
      </c>
      <c r="K359" t="s">
        <v>212</v>
      </c>
      <c r="L359">
        <v>63370</v>
      </c>
      <c r="M359" t="s">
        <v>28</v>
      </c>
      <c r="N359" t="s">
        <v>2152</v>
      </c>
      <c r="O359" t="s">
        <v>30</v>
      </c>
      <c r="P359" t="s">
        <v>197</v>
      </c>
      <c r="Q359" t="s">
        <v>494</v>
      </c>
      <c r="R359" t="s">
        <v>2153</v>
      </c>
      <c r="S359">
        <v>1</v>
      </c>
      <c r="T359" s="2">
        <v>0.1</v>
      </c>
      <c r="U359" t="s">
        <v>2154</v>
      </c>
    </row>
    <row r="360" spans="1:21">
      <c r="A360">
        <v>512</v>
      </c>
      <c r="B360" t="s">
        <v>2155</v>
      </c>
      <c r="C360" s="1">
        <v>45237</v>
      </c>
      <c r="D360" s="1">
        <v>45239</v>
      </c>
      <c r="E360" t="s">
        <v>36</v>
      </c>
      <c r="F360" t="s">
        <v>2156</v>
      </c>
      <c r="G360" t="s">
        <v>757</v>
      </c>
      <c r="H360" t="s">
        <v>60</v>
      </c>
      <c r="I360" t="s">
        <v>26</v>
      </c>
      <c r="J360" t="s">
        <v>81</v>
      </c>
      <c r="K360" t="s">
        <v>81</v>
      </c>
      <c r="L360">
        <v>30534</v>
      </c>
      <c r="M360" t="s">
        <v>62</v>
      </c>
      <c r="N360" t="s">
        <v>2157</v>
      </c>
      <c r="O360" t="s">
        <v>43</v>
      </c>
      <c r="P360" t="s">
        <v>189</v>
      </c>
      <c r="Q360" t="s">
        <v>1631</v>
      </c>
      <c r="R360" t="s">
        <v>2158</v>
      </c>
      <c r="S360">
        <v>4</v>
      </c>
      <c r="T360" s="2">
        <v>0.5</v>
      </c>
      <c r="U360" t="s">
        <v>2159</v>
      </c>
    </row>
    <row r="361" spans="1:21">
      <c r="A361">
        <v>534</v>
      </c>
      <c r="B361" t="s">
        <v>2160</v>
      </c>
      <c r="C361" s="1">
        <v>45237</v>
      </c>
      <c r="D361" s="1">
        <v>45238</v>
      </c>
      <c r="E361" t="s">
        <v>49</v>
      </c>
      <c r="F361" t="s">
        <v>2161</v>
      </c>
      <c r="G361" t="s">
        <v>1025</v>
      </c>
      <c r="H361" t="s">
        <v>60</v>
      </c>
      <c r="I361" t="s">
        <v>26</v>
      </c>
      <c r="J361" t="s">
        <v>229</v>
      </c>
      <c r="K361" t="s">
        <v>229</v>
      </c>
      <c r="L361">
        <v>98306</v>
      </c>
      <c r="M361" t="s">
        <v>73</v>
      </c>
      <c r="N361" t="s">
        <v>2162</v>
      </c>
      <c r="O361" t="s">
        <v>43</v>
      </c>
      <c r="P361" t="s">
        <v>83</v>
      </c>
      <c r="Q361" t="s">
        <v>2163</v>
      </c>
      <c r="R361" t="s">
        <v>2164</v>
      </c>
      <c r="S361">
        <v>5</v>
      </c>
      <c r="T361" s="2">
        <v>0</v>
      </c>
      <c r="U361" t="s">
        <v>2165</v>
      </c>
    </row>
    <row r="362" spans="1:21">
      <c r="A362">
        <v>247</v>
      </c>
      <c r="B362" t="s">
        <v>2166</v>
      </c>
      <c r="C362" s="1">
        <v>45239</v>
      </c>
      <c r="D362" s="1">
        <v>45244</v>
      </c>
      <c r="E362" t="s">
        <v>36</v>
      </c>
      <c r="F362" t="s">
        <v>2167</v>
      </c>
      <c r="G362" t="s">
        <v>1758</v>
      </c>
      <c r="H362" t="s">
        <v>25</v>
      </c>
      <c r="I362" t="s">
        <v>26</v>
      </c>
      <c r="J362" t="s">
        <v>438</v>
      </c>
      <c r="K362" t="s">
        <v>438</v>
      </c>
      <c r="L362">
        <v>75333</v>
      </c>
      <c r="M362" t="s">
        <v>28</v>
      </c>
      <c r="N362" t="s">
        <v>2168</v>
      </c>
      <c r="O362" t="s">
        <v>43</v>
      </c>
      <c r="P362" t="s">
        <v>214</v>
      </c>
      <c r="Q362" t="s">
        <v>2169</v>
      </c>
      <c r="R362" t="s">
        <v>2170</v>
      </c>
      <c r="S362">
        <v>6</v>
      </c>
      <c r="T362" s="2">
        <v>0.4</v>
      </c>
      <c r="U362" t="s">
        <v>2171</v>
      </c>
    </row>
    <row r="363" spans="1:21">
      <c r="A363">
        <v>465</v>
      </c>
      <c r="B363" t="s">
        <v>2172</v>
      </c>
      <c r="C363" s="1">
        <v>45242</v>
      </c>
      <c r="D363" s="1">
        <v>45245</v>
      </c>
      <c r="E363" t="s">
        <v>22</v>
      </c>
      <c r="F363" t="s">
        <v>2173</v>
      </c>
      <c r="G363" t="s">
        <v>601</v>
      </c>
      <c r="H363" t="s">
        <v>60</v>
      </c>
      <c r="I363" t="s">
        <v>26</v>
      </c>
      <c r="J363" t="s">
        <v>52</v>
      </c>
      <c r="K363" t="s">
        <v>52</v>
      </c>
      <c r="L363">
        <v>52029</v>
      </c>
      <c r="M363" t="s">
        <v>41</v>
      </c>
      <c r="N363" t="s">
        <v>2174</v>
      </c>
      <c r="O363" t="s">
        <v>30</v>
      </c>
      <c r="P363" t="s">
        <v>31</v>
      </c>
      <c r="Q363" t="s">
        <v>726</v>
      </c>
      <c r="R363" t="s">
        <v>2175</v>
      </c>
      <c r="S363">
        <v>2</v>
      </c>
      <c r="T363" s="2">
        <v>0.4</v>
      </c>
      <c r="U363" t="s">
        <v>2176</v>
      </c>
    </row>
    <row r="364" spans="1:21">
      <c r="A364">
        <v>256</v>
      </c>
      <c r="B364" t="s">
        <v>2177</v>
      </c>
      <c r="C364" s="1">
        <v>45246</v>
      </c>
      <c r="D364" s="1">
        <v>45249</v>
      </c>
      <c r="E364" t="s">
        <v>36</v>
      </c>
      <c r="F364" t="s">
        <v>2178</v>
      </c>
      <c r="G364" t="s">
        <v>1259</v>
      </c>
      <c r="H364" t="s">
        <v>25</v>
      </c>
      <c r="I364" t="s">
        <v>26</v>
      </c>
      <c r="J364" t="s">
        <v>229</v>
      </c>
      <c r="K364" t="s">
        <v>229</v>
      </c>
      <c r="L364">
        <v>26459</v>
      </c>
      <c r="M364" t="s">
        <v>73</v>
      </c>
      <c r="N364" t="s">
        <v>2179</v>
      </c>
      <c r="O364" t="s">
        <v>30</v>
      </c>
      <c r="P364" t="s">
        <v>120</v>
      </c>
      <c r="Q364" t="s">
        <v>2180</v>
      </c>
      <c r="R364" t="s">
        <v>2181</v>
      </c>
      <c r="S364">
        <v>3</v>
      </c>
      <c r="T364" s="2">
        <v>0.15</v>
      </c>
      <c r="U364" t="s">
        <v>2182</v>
      </c>
    </row>
    <row r="365" spans="1:21">
      <c r="A365">
        <v>86</v>
      </c>
      <c r="B365" t="s">
        <v>2183</v>
      </c>
      <c r="C365" s="1">
        <v>45246</v>
      </c>
      <c r="D365" s="1">
        <v>45248</v>
      </c>
      <c r="E365" t="s">
        <v>36</v>
      </c>
      <c r="F365" t="s">
        <v>2184</v>
      </c>
      <c r="G365" t="s">
        <v>683</v>
      </c>
      <c r="H365" t="s">
        <v>25</v>
      </c>
      <c r="I365" t="s">
        <v>26</v>
      </c>
      <c r="J365" t="s">
        <v>260</v>
      </c>
      <c r="K365" t="s">
        <v>260</v>
      </c>
      <c r="L365">
        <v>40027</v>
      </c>
      <c r="M365" t="s">
        <v>41</v>
      </c>
      <c r="N365" t="s">
        <v>1728</v>
      </c>
      <c r="O365" t="s">
        <v>43</v>
      </c>
      <c r="P365" t="s">
        <v>166</v>
      </c>
      <c r="Q365" t="s">
        <v>2185</v>
      </c>
      <c r="R365" t="s">
        <v>2186</v>
      </c>
      <c r="S365">
        <v>3</v>
      </c>
      <c r="T365" s="2">
        <v>0.05</v>
      </c>
      <c r="U365" t="s">
        <v>2187</v>
      </c>
    </row>
    <row r="366" spans="1:21">
      <c r="A366">
        <v>119</v>
      </c>
      <c r="B366" t="s">
        <v>2188</v>
      </c>
      <c r="C366" s="1">
        <v>45247</v>
      </c>
      <c r="D366" s="1">
        <v>45248</v>
      </c>
      <c r="E366" t="s">
        <v>22</v>
      </c>
      <c r="F366" t="s">
        <v>2189</v>
      </c>
      <c r="G366" t="s">
        <v>59</v>
      </c>
      <c r="H366" t="s">
        <v>25</v>
      </c>
      <c r="I366" t="s">
        <v>26</v>
      </c>
      <c r="J366" t="s">
        <v>301</v>
      </c>
      <c r="K366" t="s">
        <v>301</v>
      </c>
      <c r="L366">
        <v>65533</v>
      </c>
      <c r="M366" t="s">
        <v>73</v>
      </c>
      <c r="N366" t="s">
        <v>2190</v>
      </c>
      <c r="O366" t="s">
        <v>30</v>
      </c>
      <c r="P366" t="s">
        <v>120</v>
      </c>
      <c r="Q366" t="s">
        <v>1112</v>
      </c>
      <c r="R366" t="s">
        <v>2191</v>
      </c>
      <c r="S366">
        <v>5</v>
      </c>
      <c r="T366" s="2">
        <v>0.5</v>
      </c>
      <c r="U366" t="s">
        <v>2192</v>
      </c>
    </row>
    <row r="367" spans="1:21">
      <c r="A367">
        <v>570</v>
      </c>
      <c r="B367" t="s">
        <v>2193</v>
      </c>
      <c r="C367" s="1">
        <v>45248</v>
      </c>
      <c r="D367" s="1">
        <v>45250</v>
      </c>
      <c r="E367" t="s">
        <v>49</v>
      </c>
      <c r="F367" t="s">
        <v>2194</v>
      </c>
      <c r="G367" t="s">
        <v>757</v>
      </c>
      <c r="H367" t="s">
        <v>25</v>
      </c>
      <c r="I367" t="s">
        <v>26</v>
      </c>
      <c r="J367" t="s">
        <v>237</v>
      </c>
      <c r="K367" t="s">
        <v>237</v>
      </c>
      <c r="L367">
        <v>28361</v>
      </c>
      <c r="M367" t="s">
        <v>41</v>
      </c>
      <c r="N367" t="s">
        <v>2195</v>
      </c>
      <c r="O367" t="s">
        <v>64</v>
      </c>
      <c r="P367" t="s">
        <v>405</v>
      </c>
      <c r="Q367" t="s">
        <v>1300</v>
      </c>
      <c r="R367" t="s">
        <v>2196</v>
      </c>
      <c r="S367">
        <v>5</v>
      </c>
      <c r="T367" s="2">
        <v>0.15</v>
      </c>
      <c r="U367" t="s">
        <v>2197</v>
      </c>
    </row>
    <row r="368" spans="1:21">
      <c r="A368">
        <v>219</v>
      </c>
      <c r="B368" t="s">
        <v>2198</v>
      </c>
      <c r="C368" s="1">
        <v>45251</v>
      </c>
      <c r="D368" s="1">
        <v>45255</v>
      </c>
      <c r="E368" t="s">
        <v>49</v>
      </c>
      <c r="F368" t="s">
        <v>2199</v>
      </c>
      <c r="G368" t="s">
        <v>2200</v>
      </c>
      <c r="H368" t="s">
        <v>25</v>
      </c>
      <c r="I368" t="s">
        <v>26</v>
      </c>
      <c r="J368" t="s">
        <v>150</v>
      </c>
      <c r="K368" t="s">
        <v>150</v>
      </c>
      <c r="L368">
        <v>85403</v>
      </c>
      <c r="M368" t="s">
        <v>73</v>
      </c>
      <c r="N368" t="s">
        <v>2201</v>
      </c>
      <c r="O368" t="s">
        <v>64</v>
      </c>
      <c r="P368" t="s">
        <v>405</v>
      </c>
      <c r="Q368" t="s">
        <v>1973</v>
      </c>
      <c r="R368" t="s">
        <v>2202</v>
      </c>
      <c r="S368">
        <v>2</v>
      </c>
      <c r="T368" s="2">
        <v>0.2</v>
      </c>
      <c r="U368" t="s">
        <v>2203</v>
      </c>
    </row>
    <row r="369" spans="1:21">
      <c r="A369">
        <v>72</v>
      </c>
      <c r="B369" t="s">
        <v>2204</v>
      </c>
      <c r="C369" s="1">
        <v>45251</v>
      </c>
      <c r="D369" s="1">
        <v>45254</v>
      </c>
      <c r="E369" t="s">
        <v>49</v>
      </c>
      <c r="F369" t="s">
        <v>2205</v>
      </c>
      <c r="G369" t="s">
        <v>1625</v>
      </c>
      <c r="H369" t="s">
        <v>25</v>
      </c>
      <c r="I369" t="s">
        <v>26</v>
      </c>
      <c r="J369" t="s">
        <v>150</v>
      </c>
      <c r="K369" t="s">
        <v>150</v>
      </c>
      <c r="L369">
        <v>75160</v>
      </c>
      <c r="M369" t="s">
        <v>73</v>
      </c>
      <c r="N369" t="s">
        <v>2206</v>
      </c>
      <c r="O369" t="s">
        <v>30</v>
      </c>
      <c r="P369" t="s">
        <v>120</v>
      </c>
      <c r="Q369" t="s">
        <v>365</v>
      </c>
      <c r="R369" t="s">
        <v>2207</v>
      </c>
      <c r="S369">
        <v>2</v>
      </c>
      <c r="T369" s="2">
        <v>0.15</v>
      </c>
      <c r="U369" t="s">
        <v>2208</v>
      </c>
    </row>
    <row r="370" spans="1:21">
      <c r="A370">
        <v>200</v>
      </c>
      <c r="B370" t="s">
        <v>2209</v>
      </c>
      <c r="C370" s="1">
        <v>45251</v>
      </c>
      <c r="D370" s="1">
        <v>45253</v>
      </c>
      <c r="E370" t="s">
        <v>36</v>
      </c>
      <c r="F370" t="s">
        <v>2210</v>
      </c>
      <c r="G370" t="s">
        <v>1194</v>
      </c>
      <c r="H370" t="s">
        <v>25</v>
      </c>
      <c r="I370" t="s">
        <v>26</v>
      </c>
      <c r="J370" t="s">
        <v>237</v>
      </c>
      <c r="K370" t="s">
        <v>237</v>
      </c>
      <c r="L370">
        <v>85945</v>
      </c>
      <c r="M370" t="s">
        <v>41</v>
      </c>
      <c r="N370" t="s">
        <v>1441</v>
      </c>
      <c r="O370" t="s">
        <v>30</v>
      </c>
      <c r="P370" t="s">
        <v>31</v>
      </c>
      <c r="Q370" t="s">
        <v>582</v>
      </c>
      <c r="R370" t="s">
        <v>2211</v>
      </c>
      <c r="S370">
        <v>3</v>
      </c>
      <c r="T370" s="2">
        <v>0</v>
      </c>
      <c r="U370" t="s">
        <v>2212</v>
      </c>
    </row>
    <row r="371" spans="1:21">
      <c r="A371">
        <v>308</v>
      </c>
      <c r="B371" t="s">
        <v>2213</v>
      </c>
      <c r="C371" s="1">
        <v>45252</v>
      </c>
      <c r="D371" s="1">
        <v>45253</v>
      </c>
      <c r="E371" t="s">
        <v>382</v>
      </c>
      <c r="F371" t="s">
        <v>2214</v>
      </c>
      <c r="G371" t="s">
        <v>187</v>
      </c>
      <c r="H371" t="s">
        <v>60</v>
      </c>
      <c r="I371" t="s">
        <v>26</v>
      </c>
      <c r="J371" t="s">
        <v>438</v>
      </c>
      <c r="K371" t="s">
        <v>438</v>
      </c>
      <c r="L371">
        <v>38060</v>
      </c>
      <c r="M371" t="s">
        <v>28</v>
      </c>
      <c r="N371" t="s">
        <v>2215</v>
      </c>
      <c r="O371" t="s">
        <v>64</v>
      </c>
      <c r="P371" t="s">
        <v>136</v>
      </c>
      <c r="Q371" t="s">
        <v>2216</v>
      </c>
      <c r="R371" t="s">
        <v>2217</v>
      </c>
      <c r="S371">
        <v>3</v>
      </c>
      <c r="T371" s="2">
        <v>0.1</v>
      </c>
      <c r="U371" t="s">
        <v>2218</v>
      </c>
    </row>
    <row r="372" spans="1:21">
      <c r="A372">
        <v>144</v>
      </c>
      <c r="B372" t="s">
        <v>2219</v>
      </c>
      <c r="C372" s="1">
        <v>45256</v>
      </c>
      <c r="D372" s="1">
        <v>45259</v>
      </c>
      <c r="E372" t="s">
        <v>36</v>
      </c>
      <c r="F372" t="s">
        <v>2220</v>
      </c>
      <c r="G372" t="s">
        <v>126</v>
      </c>
      <c r="H372" t="s">
        <v>25</v>
      </c>
      <c r="I372" t="s">
        <v>26</v>
      </c>
      <c r="J372" t="s">
        <v>81</v>
      </c>
      <c r="K372" t="s">
        <v>81</v>
      </c>
      <c r="L372">
        <v>56403</v>
      </c>
      <c r="M372" t="s">
        <v>62</v>
      </c>
      <c r="N372" t="s">
        <v>2221</v>
      </c>
      <c r="O372" t="s">
        <v>64</v>
      </c>
      <c r="P372" t="s">
        <v>136</v>
      </c>
      <c r="Q372" t="s">
        <v>2222</v>
      </c>
      <c r="R372" t="s">
        <v>2223</v>
      </c>
      <c r="S372">
        <v>5</v>
      </c>
      <c r="T372" s="2">
        <v>0</v>
      </c>
      <c r="U372" t="s">
        <v>2224</v>
      </c>
    </row>
    <row r="373" spans="1:21">
      <c r="A373">
        <v>545</v>
      </c>
      <c r="B373" t="s">
        <v>2225</v>
      </c>
      <c r="C373" s="1">
        <v>45260</v>
      </c>
      <c r="D373" s="1">
        <v>45266</v>
      </c>
      <c r="E373" t="s">
        <v>382</v>
      </c>
      <c r="F373" t="s">
        <v>2226</v>
      </c>
      <c r="G373" t="s">
        <v>2227</v>
      </c>
      <c r="H373" t="s">
        <v>39</v>
      </c>
      <c r="I373" t="s">
        <v>26</v>
      </c>
      <c r="J373" t="s">
        <v>173</v>
      </c>
      <c r="K373" t="s">
        <v>173</v>
      </c>
      <c r="L373">
        <v>42844</v>
      </c>
      <c r="M373" t="s">
        <v>73</v>
      </c>
      <c r="N373" t="s">
        <v>1837</v>
      </c>
      <c r="O373" t="s">
        <v>43</v>
      </c>
      <c r="P373" t="s">
        <v>166</v>
      </c>
      <c r="Q373" t="s">
        <v>2228</v>
      </c>
      <c r="R373" t="s">
        <v>2229</v>
      </c>
      <c r="S373">
        <v>2</v>
      </c>
      <c r="T373" s="2">
        <v>0.2</v>
      </c>
      <c r="U373" t="s">
        <v>2230</v>
      </c>
    </row>
    <row r="374" spans="1:21">
      <c r="A374">
        <v>390</v>
      </c>
      <c r="B374" t="s">
        <v>2231</v>
      </c>
      <c r="C374" s="1">
        <v>45261</v>
      </c>
      <c r="D374" s="1">
        <v>45264</v>
      </c>
      <c r="E374" t="s">
        <v>36</v>
      </c>
      <c r="F374" t="s">
        <v>2232</v>
      </c>
      <c r="G374" t="s">
        <v>1429</v>
      </c>
      <c r="H374" t="s">
        <v>39</v>
      </c>
      <c r="I374" t="s">
        <v>26</v>
      </c>
      <c r="J374" t="s">
        <v>61</v>
      </c>
      <c r="K374" t="s">
        <v>61</v>
      </c>
      <c r="L374">
        <v>19215</v>
      </c>
      <c r="M374" t="s">
        <v>62</v>
      </c>
      <c r="N374" t="s">
        <v>499</v>
      </c>
      <c r="O374" t="s">
        <v>43</v>
      </c>
      <c r="P374" t="s">
        <v>214</v>
      </c>
      <c r="Q374" t="s">
        <v>812</v>
      </c>
      <c r="R374" t="s">
        <v>2233</v>
      </c>
      <c r="S374">
        <v>2</v>
      </c>
      <c r="T374" s="2">
        <v>0</v>
      </c>
      <c r="U374" t="s">
        <v>2234</v>
      </c>
    </row>
    <row r="375" spans="1:21">
      <c r="A375">
        <v>379</v>
      </c>
      <c r="B375" t="s">
        <v>2235</v>
      </c>
      <c r="C375" s="1">
        <v>45263</v>
      </c>
      <c r="D375" s="1">
        <v>45266</v>
      </c>
      <c r="E375" t="s">
        <v>36</v>
      </c>
      <c r="F375" t="s">
        <v>2236</v>
      </c>
      <c r="G375" t="s">
        <v>2237</v>
      </c>
      <c r="H375" t="s">
        <v>39</v>
      </c>
      <c r="I375" t="s">
        <v>26</v>
      </c>
      <c r="J375" t="s">
        <v>363</v>
      </c>
      <c r="K375" t="s">
        <v>363</v>
      </c>
      <c r="L375">
        <v>49643</v>
      </c>
      <c r="M375" t="s">
        <v>62</v>
      </c>
      <c r="N375" t="s">
        <v>2238</v>
      </c>
      <c r="O375" t="s">
        <v>30</v>
      </c>
      <c r="P375" t="s">
        <v>222</v>
      </c>
      <c r="Q375" t="s">
        <v>1214</v>
      </c>
      <c r="R375" t="s">
        <v>2239</v>
      </c>
      <c r="S375">
        <v>7</v>
      </c>
      <c r="T375" s="2">
        <v>0.5</v>
      </c>
      <c r="U375" t="s">
        <v>2240</v>
      </c>
    </row>
    <row r="376" spans="1:21">
      <c r="A376">
        <v>451</v>
      </c>
      <c r="B376" t="s">
        <v>2241</v>
      </c>
      <c r="C376" s="1">
        <v>45266</v>
      </c>
      <c r="D376" s="1">
        <v>45268</v>
      </c>
      <c r="E376" t="s">
        <v>49</v>
      </c>
      <c r="F376" t="s">
        <v>58</v>
      </c>
      <c r="G376" t="s">
        <v>2237</v>
      </c>
      <c r="H376" t="s">
        <v>39</v>
      </c>
      <c r="I376" t="s">
        <v>26</v>
      </c>
      <c r="J376" t="s">
        <v>157</v>
      </c>
      <c r="K376" t="s">
        <v>157</v>
      </c>
      <c r="L376">
        <v>70998</v>
      </c>
      <c r="M376" t="s">
        <v>62</v>
      </c>
      <c r="N376" t="s">
        <v>2242</v>
      </c>
      <c r="O376" t="s">
        <v>30</v>
      </c>
      <c r="P376" t="s">
        <v>120</v>
      </c>
      <c r="Q376" t="s">
        <v>365</v>
      </c>
      <c r="R376" t="s">
        <v>2243</v>
      </c>
      <c r="S376">
        <v>1</v>
      </c>
      <c r="T376" s="2">
        <v>0.05</v>
      </c>
      <c r="U376" t="s">
        <v>2244</v>
      </c>
    </row>
    <row r="377" spans="1:21">
      <c r="A377">
        <v>557</v>
      </c>
      <c r="B377" t="s">
        <v>2245</v>
      </c>
      <c r="C377" s="1">
        <v>45267</v>
      </c>
      <c r="D377" s="1">
        <v>45270</v>
      </c>
      <c r="E377" t="s">
        <v>36</v>
      </c>
      <c r="F377" t="s">
        <v>2246</v>
      </c>
      <c r="G377" t="s">
        <v>909</v>
      </c>
      <c r="H377" t="s">
        <v>25</v>
      </c>
      <c r="I377" t="s">
        <v>26</v>
      </c>
      <c r="J377" t="s">
        <v>81</v>
      </c>
      <c r="K377" t="s">
        <v>81</v>
      </c>
      <c r="L377">
        <v>97618</v>
      </c>
      <c r="M377" t="s">
        <v>62</v>
      </c>
      <c r="N377" t="s">
        <v>1195</v>
      </c>
      <c r="O377" t="s">
        <v>30</v>
      </c>
      <c r="P377" t="s">
        <v>31</v>
      </c>
      <c r="Q377" t="s">
        <v>1403</v>
      </c>
      <c r="R377" t="s">
        <v>2247</v>
      </c>
      <c r="S377">
        <v>2</v>
      </c>
      <c r="T377" s="2">
        <v>0</v>
      </c>
      <c r="U377" t="s">
        <v>2248</v>
      </c>
    </row>
    <row r="378" spans="1:21">
      <c r="A378">
        <v>270</v>
      </c>
      <c r="B378" t="s">
        <v>2249</v>
      </c>
      <c r="C378" s="1">
        <v>45267</v>
      </c>
      <c r="D378" s="1">
        <v>45271</v>
      </c>
      <c r="E378" t="s">
        <v>49</v>
      </c>
      <c r="F378" t="s">
        <v>2250</v>
      </c>
      <c r="G378" t="s">
        <v>648</v>
      </c>
      <c r="H378" t="s">
        <v>25</v>
      </c>
      <c r="I378" t="s">
        <v>26</v>
      </c>
      <c r="J378" t="s">
        <v>363</v>
      </c>
      <c r="K378" t="s">
        <v>363</v>
      </c>
      <c r="L378">
        <v>17130</v>
      </c>
      <c r="M378" t="s">
        <v>62</v>
      </c>
      <c r="N378" t="s">
        <v>1578</v>
      </c>
      <c r="O378" t="s">
        <v>43</v>
      </c>
      <c r="P378" t="s">
        <v>166</v>
      </c>
      <c r="Q378" t="s">
        <v>2251</v>
      </c>
      <c r="R378" t="s">
        <v>2252</v>
      </c>
      <c r="S378">
        <v>4</v>
      </c>
      <c r="T378" s="2">
        <v>0.15</v>
      </c>
      <c r="U378" t="s">
        <v>2253</v>
      </c>
    </row>
    <row r="379" spans="1:21">
      <c r="A379">
        <v>463</v>
      </c>
      <c r="B379" t="s">
        <v>2254</v>
      </c>
      <c r="C379" s="1">
        <v>45269</v>
      </c>
      <c r="D379" s="1">
        <v>45271</v>
      </c>
      <c r="E379" t="s">
        <v>36</v>
      </c>
      <c r="F379" t="s">
        <v>1651</v>
      </c>
      <c r="G379" t="s">
        <v>1087</v>
      </c>
      <c r="H379" t="s">
        <v>25</v>
      </c>
      <c r="I379" t="s">
        <v>26</v>
      </c>
      <c r="J379" t="s">
        <v>245</v>
      </c>
      <c r="K379" t="s">
        <v>245</v>
      </c>
      <c r="L379">
        <v>52503</v>
      </c>
      <c r="M379" t="s">
        <v>41</v>
      </c>
      <c r="N379" t="s">
        <v>1111</v>
      </c>
      <c r="O379" t="s">
        <v>43</v>
      </c>
      <c r="P379" t="s">
        <v>128</v>
      </c>
      <c r="Q379" t="s">
        <v>129</v>
      </c>
      <c r="R379" t="s">
        <v>2255</v>
      </c>
      <c r="S379">
        <v>3</v>
      </c>
      <c r="T379" s="2">
        <v>0.15</v>
      </c>
      <c r="U379" t="s">
        <v>2256</v>
      </c>
    </row>
    <row r="380" spans="1:21">
      <c r="A380">
        <v>135</v>
      </c>
      <c r="B380" t="s">
        <v>2257</v>
      </c>
      <c r="C380" s="1">
        <v>45270</v>
      </c>
      <c r="D380" s="1">
        <v>45276</v>
      </c>
      <c r="E380" t="s">
        <v>49</v>
      </c>
      <c r="F380" t="s">
        <v>2258</v>
      </c>
      <c r="G380" t="s">
        <v>492</v>
      </c>
      <c r="H380" t="s">
        <v>25</v>
      </c>
      <c r="I380" t="s">
        <v>26</v>
      </c>
      <c r="J380" t="s">
        <v>27</v>
      </c>
      <c r="K380" t="s">
        <v>27</v>
      </c>
      <c r="L380">
        <v>90257</v>
      </c>
      <c r="M380" t="s">
        <v>28</v>
      </c>
      <c r="N380" t="s">
        <v>2259</v>
      </c>
      <c r="O380" t="s">
        <v>30</v>
      </c>
      <c r="P380" t="s">
        <v>120</v>
      </c>
      <c r="Q380" t="s">
        <v>182</v>
      </c>
      <c r="R380" t="s">
        <v>2260</v>
      </c>
      <c r="S380">
        <v>7</v>
      </c>
      <c r="T380" s="2">
        <v>0.2</v>
      </c>
      <c r="U380" t="s">
        <v>2261</v>
      </c>
    </row>
    <row r="381" spans="1:21">
      <c r="A381">
        <v>9</v>
      </c>
      <c r="B381" t="s">
        <v>2262</v>
      </c>
      <c r="C381" s="1">
        <v>45271</v>
      </c>
      <c r="D381" s="1">
        <v>45274</v>
      </c>
      <c r="E381" t="s">
        <v>36</v>
      </c>
      <c r="F381" t="s">
        <v>2263</v>
      </c>
      <c r="G381" t="s">
        <v>432</v>
      </c>
      <c r="H381" t="s">
        <v>25</v>
      </c>
      <c r="I381" t="s">
        <v>26</v>
      </c>
      <c r="J381" t="s">
        <v>72</v>
      </c>
      <c r="K381" t="s">
        <v>72</v>
      </c>
      <c r="L381">
        <v>99474</v>
      </c>
      <c r="M381" t="s">
        <v>73</v>
      </c>
      <c r="N381" t="s">
        <v>1620</v>
      </c>
      <c r="O381" t="s">
        <v>43</v>
      </c>
      <c r="P381" t="s">
        <v>214</v>
      </c>
      <c r="Q381" t="s">
        <v>2264</v>
      </c>
      <c r="R381" t="s">
        <v>2265</v>
      </c>
      <c r="S381">
        <v>1</v>
      </c>
      <c r="T381" s="2">
        <v>0.1</v>
      </c>
      <c r="U381" t="s">
        <v>2266</v>
      </c>
    </row>
    <row r="382" spans="1:21">
      <c r="A382">
        <v>406</v>
      </c>
      <c r="B382" t="s">
        <v>2267</v>
      </c>
      <c r="C382" s="1">
        <v>45274</v>
      </c>
      <c r="D382" s="1">
        <v>45278</v>
      </c>
      <c r="E382" t="s">
        <v>49</v>
      </c>
      <c r="F382" t="s">
        <v>2268</v>
      </c>
      <c r="G382" t="s">
        <v>418</v>
      </c>
      <c r="H382" t="s">
        <v>60</v>
      </c>
      <c r="I382" t="s">
        <v>26</v>
      </c>
      <c r="J382" t="s">
        <v>301</v>
      </c>
      <c r="K382" t="s">
        <v>301</v>
      </c>
      <c r="L382">
        <v>67853</v>
      </c>
      <c r="M382" t="s">
        <v>73</v>
      </c>
      <c r="N382" t="s">
        <v>2269</v>
      </c>
      <c r="O382" t="s">
        <v>43</v>
      </c>
      <c r="P382" t="s">
        <v>128</v>
      </c>
      <c r="Q382" t="s">
        <v>175</v>
      </c>
      <c r="R382" t="s">
        <v>2270</v>
      </c>
      <c r="S382">
        <v>5</v>
      </c>
      <c r="T382" s="2">
        <v>0.15</v>
      </c>
      <c r="U382" t="s">
        <v>1559</v>
      </c>
    </row>
    <row r="383" spans="1:21">
      <c r="A383">
        <v>115</v>
      </c>
      <c r="B383" t="s">
        <v>2271</v>
      </c>
      <c r="C383" s="1">
        <v>45276</v>
      </c>
      <c r="D383" s="1">
        <v>45279</v>
      </c>
      <c r="E383" t="s">
        <v>22</v>
      </c>
      <c r="F383" t="s">
        <v>2272</v>
      </c>
      <c r="G383" t="s">
        <v>51</v>
      </c>
      <c r="H383" t="s">
        <v>25</v>
      </c>
      <c r="I383" t="s">
        <v>26</v>
      </c>
      <c r="J383" t="s">
        <v>212</v>
      </c>
      <c r="K383" t="s">
        <v>212</v>
      </c>
      <c r="L383">
        <v>73530</v>
      </c>
      <c r="M383" t="s">
        <v>28</v>
      </c>
      <c r="N383" t="s">
        <v>2273</v>
      </c>
      <c r="O383" t="s">
        <v>64</v>
      </c>
      <c r="P383" t="s">
        <v>105</v>
      </c>
      <c r="Q383" t="s">
        <v>549</v>
      </c>
      <c r="R383" t="s">
        <v>2274</v>
      </c>
      <c r="S383">
        <v>5</v>
      </c>
      <c r="T383" s="2">
        <v>0</v>
      </c>
      <c r="U383" t="s">
        <v>2275</v>
      </c>
    </row>
    <row r="384" spans="1:21">
      <c r="A384">
        <v>446</v>
      </c>
      <c r="B384" t="s">
        <v>2276</v>
      </c>
      <c r="C384" s="1">
        <v>45276</v>
      </c>
      <c r="D384" s="1">
        <v>45280</v>
      </c>
      <c r="E384" t="s">
        <v>49</v>
      </c>
      <c r="F384" t="s">
        <v>2277</v>
      </c>
      <c r="G384" t="s">
        <v>882</v>
      </c>
      <c r="H384" t="s">
        <v>25</v>
      </c>
      <c r="I384" t="s">
        <v>26</v>
      </c>
      <c r="J384" t="s">
        <v>96</v>
      </c>
      <c r="K384" t="s">
        <v>96</v>
      </c>
      <c r="L384">
        <v>59228</v>
      </c>
      <c r="M384" t="s">
        <v>28</v>
      </c>
      <c r="N384" t="s">
        <v>2278</v>
      </c>
      <c r="O384" t="s">
        <v>64</v>
      </c>
      <c r="P384" t="s">
        <v>105</v>
      </c>
      <c r="Q384" t="s">
        <v>269</v>
      </c>
      <c r="R384" t="s">
        <v>2279</v>
      </c>
      <c r="S384">
        <v>5</v>
      </c>
      <c r="T384" s="2">
        <v>0.2</v>
      </c>
      <c r="U384" t="s">
        <v>2280</v>
      </c>
    </row>
    <row r="385" spans="1:21">
      <c r="A385">
        <v>434</v>
      </c>
      <c r="B385" t="s">
        <v>2281</v>
      </c>
      <c r="C385" s="1">
        <v>45277</v>
      </c>
      <c r="D385" s="1">
        <v>45279</v>
      </c>
      <c r="E385" t="s">
        <v>36</v>
      </c>
      <c r="F385" t="s">
        <v>2282</v>
      </c>
      <c r="G385" t="s">
        <v>1253</v>
      </c>
      <c r="H385" t="s">
        <v>39</v>
      </c>
      <c r="I385" t="s">
        <v>26</v>
      </c>
      <c r="J385" t="s">
        <v>237</v>
      </c>
      <c r="K385" t="s">
        <v>237</v>
      </c>
      <c r="L385">
        <v>74839</v>
      </c>
      <c r="M385" t="s">
        <v>41</v>
      </c>
      <c r="N385" t="s">
        <v>678</v>
      </c>
      <c r="O385" t="s">
        <v>43</v>
      </c>
      <c r="P385" t="s">
        <v>166</v>
      </c>
      <c r="Q385" t="s">
        <v>2004</v>
      </c>
      <c r="R385" t="s">
        <v>2283</v>
      </c>
      <c r="S385">
        <v>3</v>
      </c>
      <c r="T385" s="2">
        <v>0</v>
      </c>
      <c r="U385" t="s">
        <v>2284</v>
      </c>
    </row>
    <row r="386" spans="1:21">
      <c r="A386">
        <v>36</v>
      </c>
      <c r="B386" t="s">
        <v>2285</v>
      </c>
      <c r="C386" s="1">
        <v>45278</v>
      </c>
      <c r="D386" s="1">
        <v>45280</v>
      </c>
      <c r="E386" t="s">
        <v>36</v>
      </c>
      <c r="F386" t="s">
        <v>2286</v>
      </c>
      <c r="G386" t="s">
        <v>2237</v>
      </c>
      <c r="H386" t="s">
        <v>25</v>
      </c>
      <c r="I386" t="s">
        <v>26</v>
      </c>
      <c r="J386" t="s">
        <v>229</v>
      </c>
      <c r="K386" t="s">
        <v>229</v>
      </c>
      <c r="L386">
        <v>34285</v>
      </c>
      <c r="M386" t="s">
        <v>73</v>
      </c>
      <c r="N386" t="s">
        <v>1782</v>
      </c>
      <c r="O386" t="s">
        <v>43</v>
      </c>
      <c r="P386" t="s">
        <v>128</v>
      </c>
      <c r="Q386" t="s">
        <v>656</v>
      </c>
      <c r="R386" t="s">
        <v>2287</v>
      </c>
      <c r="S386">
        <v>6</v>
      </c>
      <c r="T386" s="2">
        <v>0.3</v>
      </c>
      <c r="U386" t="s">
        <v>2288</v>
      </c>
    </row>
    <row r="387" spans="1:21">
      <c r="A387">
        <v>539</v>
      </c>
      <c r="B387" t="s">
        <v>2289</v>
      </c>
      <c r="C387" s="1">
        <v>45280</v>
      </c>
      <c r="D387" s="1">
        <v>45283</v>
      </c>
      <c r="E387" t="s">
        <v>36</v>
      </c>
      <c r="F387" t="s">
        <v>2290</v>
      </c>
      <c r="G387" t="s">
        <v>1044</v>
      </c>
      <c r="H387" t="s">
        <v>25</v>
      </c>
      <c r="I387" t="s">
        <v>26</v>
      </c>
      <c r="J387" t="s">
        <v>157</v>
      </c>
      <c r="K387" t="s">
        <v>157</v>
      </c>
      <c r="L387">
        <v>95013</v>
      </c>
      <c r="M387" t="s">
        <v>62</v>
      </c>
      <c r="N387" t="s">
        <v>661</v>
      </c>
      <c r="O387" t="s">
        <v>43</v>
      </c>
      <c r="P387" t="s">
        <v>128</v>
      </c>
      <c r="Q387" t="s">
        <v>2291</v>
      </c>
      <c r="R387" t="s">
        <v>2292</v>
      </c>
      <c r="S387">
        <v>4</v>
      </c>
      <c r="T387" s="2">
        <v>0.3</v>
      </c>
      <c r="U387" t="s">
        <v>2293</v>
      </c>
    </row>
    <row r="388" spans="1:21">
      <c r="A388">
        <v>100</v>
      </c>
      <c r="B388" t="s">
        <v>2294</v>
      </c>
      <c r="C388" s="1">
        <v>45287</v>
      </c>
      <c r="D388" s="1">
        <v>45290</v>
      </c>
      <c r="E388" t="s">
        <v>36</v>
      </c>
      <c r="F388" t="s">
        <v>2295</v>
      </c>
      <c r="G388" t="s">
        <v>648</v>
      </c>
      <c r="H388" t="s">
        <v>25</v>
      </c>
      <c r="I388" t="s">
        <v>26</v>
      </c>
      <c r="J388" t="s">
        <v>81</v>
      </c>
      <c r="K388" t="s">
        <v>81</v>
      </c>
      <c r="L388">
        <v>46451</v>
      </c>
      <c r="M388" t="s">
        <v>62</v>
      </c>
      <c r="N388" t="s">
        <v>2296</v>
      </c>
      <c r="O388" t="s">
        <v>30</v>
      </c>
      <c r="P388" t="s">
        <v>197</v>
      </c>
      <c r="Q388" t="s">
        <v>1896</v>
      </c>
      <c r="R388" t="s">
        <v>2297</v>
      </c>
      <c r="S388">
        <v>5</v>
      </c>
      <c r="T388" s="2">
        <v>0.1</v>
      </c>
      <c r="U388" t="s">
        <v>2298</v>
      </c>
    </row>
    <row r="389" spans="1:21">
      <c r="A389">
        <v>426</v>
      </c>
      <c r="B389" t="s">
        <v>2299</v>
      </c>
      <c r="C389" s="1">
        <v>45291</v>
      </c>
      <c r="D389" s="1">
        <v>45293</v>
      </c>
      <c r="E389" t="s">
        <v>22</v>
      </c>
      <c r="F389" t="s">
        <v>2300</v>
      </c>
      <c r="G389" t="s">
        <v>458</v>
      </c>
      <c r="H389" t="s">
        <v>25</v>
      </c>
      <c r="I389" t="s">
        <v>26</v>
      </c>
      <c r="J389" t="s">
        <v>72</v>
      </c>
      <c r="K389" t="s">
        <v>72</v>
      </c>
      <c r="L389">
        <v>91976</v>
      </c>
      <c r="M389" t="s">
        <v>73</v>
      </c>
      <c r="N389" t="s">
        <v>2301</v>
      </c>
      <c r="O389" t="s">
        <v>43</v>
      </c>
      <c r="P389" t="s">
        <v>166</v>
      </c>
      <c r="Q389" t="s">
        <v>2031</v>
      </c>
      <c r="R389" t="s">
        <v>2302</v>
      </c>
      <c r="S389">
        <v>6</v>
      </c>
      <c r="T389" s="2">
        <v>0</v>
      </c>
      <c r="U389" t="s">
        <v>1426</v>
      </c>
    </row>
    <row r="390" spans="1:21">
      <c r="A390">
        <v>321</v>
      </c>
      <c r="B390" t="s">
        <v>2303</v>
      </c>
      <c r="C390" s="1">
        <v>45291</v>
      </c>
      <c r="D390" s="1">
        <v>45294</v>
      </c>
      <c r="E390" t="s">
        <v>36</v>
      </c>
      <c r="F390" t="s">
        <v>2304</v>
      </c>
      <c r="G390" t="s">
        <v>445</v>
      </c>
      <c r="H390" t="s">
        <v>25</v>
      </c>
      <c r="I390" t="s">
        <v>26</v>
      </c>
      <c r="J390" t="s">
        <v>301</v>
      </c>
      <c r="K390" t="s">
        <v>301</v>
      </c>
      <c r="L390">
        <v>49041</v>
      </c>
      <c r="M390" t="s">
        <v>73</v>
      </c>
      <c r="N390" t="s">
        <v>205</v>
      </c>
      <c r="O390" t="s">
        <v>43</v>
      </c>
      <c r="P390" t="s">
        <v>189</v>
      </c>
      <c r="Q390" t="s">
        <v>603</v>
      </c>
      <c r="R390" t="s">
        <v>2305</v>
      </c>
      <c r="S390">
        <v>2</v>
      </c>
      <c r="T390" s="2">
        <v>0</v>
      </c>
      <c r="U390" t="s">
        <v>2306</v>
      </c>
    </row>
    <row r="391" spans="1:21">
      <c r="A391">
        <v>593</v>
      </c>
      <c r="B391" t="s">
        <v>2307</v>
      </c>
      <c r="C391" s="1">
        <v>45292</v>
      </c>
      <c r="D391" s="1">
        <v>45296</v>
      </c>
      <c r="E391" t="s">
        <v>36</v>
      </c>
      <c r="F391" t="s">
        <v>2308</v>
      </c>
      <c r="G391" t="s">
        <v>2309</v>
      </c>
      <c r="H391" t="s">
        <v>60</v>
      </c>
      <c r="I391" t="s">
        <v>26</v>
      </c>
      <c r="J391" t="s">
        <v>81</v>
      </c>
      <c r="K391" t="s">
        <v>81</v>
      </c>
      <c r="L391">
        <v>57445</v>
      </c>
      <c r="M391" t="s">
        <v>62</v>
      </c>
      <c r="N391" t="s">
        <v>2221</v>
      </c>
      <c r="O391" t="s">
        <v>30</v>
      </c>
      <c r="P391" t="s">
        <v>120</v>
      </c>
      <c r="Q391" t="s">
        <v>357</v>
      </c>
      <c r="R391" t="s">
        <v>2310</v>
      </c>
      <c r="S391">
        <v>6</v>
      </c>
      <c r="T391" s="2">
        <v>0.2</v>
      </c>
      <c r="U391" t="s">
        <v>2311</v>
      </c>
    </row>
    <row r="392" spans="1:21">
      <c r="A392">
        <v>269</v>
      </c>
      <c r="B392" t="s">
        <v>2312</v>
      </c>
      <c r="C392" s="1">
        <v>45292</v>
      </c>
      <c r="D392" s="1">
        <v>45294</v>
      </c>
      <c r="E392" t="s">
        <v>36</v>
      </c>
      <c r="F392" t="s">
        <v>2313</v>
      </c>
      <c r="G392" t="s">
        <v>180</v>
      </c>
      <c r="H392" t="s">
        <v>25</v>
      </c>
      <c r="I392" t="s">
        <v>26</v>
      </c>
      <c r="J392" t="s">
        <v>260</v>
      </c>
      <c r="K392" t="s">
        <v>260</v>
      </c>
      <c r="L392">
        <v>99524</v>
      </c>
      <c r="M392" t="s">
        <v>41</v>
      </c>
      <c r="N392" t="s">
        <v>2314</v>
      </c>
      <c r="O392" t="s">
        <v>43</v>
      </c>
      <c r="P392" t="s">
        <v>83</v>
      </c>
      <c r="Q392" t="s">
        <v>2315</v>
      </c>
      <c r="R392" t="s">
        <v>2316</v>
      </c>
      <c r="S392">
        <v>2</v>
      </c>
      <c r="T392" s="2">
        <v>0</v>
      </c>
      <c r="U392" t="s">
        <v>2317</v>
      </c>
    </row>
    <row r="393" spans="1:21">
      <c r="A393">
        <v>246</v>
      </c>
      <c r="B393" t="s">
        <v>2318</v>
      </c>
      <c r="C393" s="1">
        <v>45293</v>
      </c>
      <c r="D393" s="1">
        <v>45299</v>
      </c>
      <c r="E393" t="s">
        <v>36</v>
      </c>
      <c r="F393" t="s">
        <v>2319</v>
      </c>
      <c r="G393" t="s">
        <v>172</v>
      </c>
      <c r="H393" t="s">
        <v>25</v>
      </c>
      <c r="I393" t="s">
        <v>26</v>
      </c>
      <c r="J393" t="s">
        <v>301</v>
      </c>
      <c r="K393" t="s">
        <v>301</v>
      </c>
      <c r="L393">
        <v>15454</v>
      </c>
      <c r="M393" t="s">
        <v>73</v>
      </c>
      <c r="N393" t="s">
        <v>1299</v>
      </c>
      <c r="O393" t="s">
        <v>30</v>
      </c>
      <c r="P393" t="s">
        <v>197</v>
      </c>
      <c r="Q393" t="s">
        <v>2320</v>
      </c>
      <c r="R393" t="s">
        <v>2321</v>
      </c>
      <c r="S393">
        <v>1</v>
      </c>
      <c r="T393" s="2">
        <v>0.15</v>
      </c>
      <c r="U393" t="s">
        <v>2322</v>
      </c>
    </row>
    <row r="394" spans="1:21">
      <c r="A394">
        <v>81</v>
      </c>
      <c r="B394" t="s">
        <v>2323</v>
      </c>
      <c r="C394" s="1">
        <v>45295</v>
      </c>
      <c r="D394" s="1">
        <v>45297</v>
      </c>
      <c r="E394" t="s">
        <v>36</v>
      </c>
      <c r="F394" t="s">
        <v>2324</v>
      </c>
      <c r="G394" t="s">
        <v>71</v>
      </c>
      <c r="H394" t="s">
        <v>25</v>
      </c>
      <c r="I394" t="s">
        <v>26</v>
      </c>
      <c r="J394" t="s">
        <v>173</v>
      </c>
      <c r="K394" t="s">
        <v>173</v>
      </c>
      <c r="L394">
        <v>95708</v>
      </c>
      <c r="M394" t="s">
        <v>73</v>
      </c>
      <c r="N394" t="s">
        <v>1630</v>
      </c>
      <c r="O394" t="s">
        <v>43</v>
      </c>
      <c r="P394" t="s">
        <v>83</v>
      </c>
      <c r="Q394" t="s">
        <v>609</v>
      </c>
      <c r="R394" t="s">
        <v>2325</v>
      </c>
      <c r="S394">
        <v>2</v>
      </c>
      <c r="T394" s="2">
        <v>0.3</v>
      </c>
      <c r="U394" t="s">
        <v>2326</v>
      </c>
    </row>
    <row r="395" spans="1:21">
      <c r="A395">
        <v>217</v>
      </c>
      <c r="B395" t="s">
        <v>2327</v>
      </c>
      <c r="C395" s="1">
        <v>45297</v>
      </c>
      <c r="D395" s="1">
        <v>45300</v>
      </c>
      <c r="E395" t="s">
        <v>49</v>
      </c>
      <c r="F395" t="s">
        <v>2328</v>
      </c>
      <c r="G395" t="s">
        <v>1519</v>
      </c>
      <c r="H395" t="s">
        <v>60</v>
      </c>
      <c r="I395" t="s">
        <v>26</v>
      </c>
      <c r="J395" t="s">
        <v>61</v>
      </c>
      <c r="K395" t="s">
        <v>61</v>
      </c>
      <c r="L395">
        <v>62198</v>
      </c>
      <c r="M395" t="s">
        <v>62</v>
      </c>
      <c r="N395" t="s">
        <v>2329</v>
      </c>
      <c r="O395" t="s">
        <v>43</v>
      </c>
      <c r="P395" t="s">
        <v>166</v>
      </c>
      <c r="Q395" t="s">
        <v>2330</v>
      </c>
      <c r="R395" t="s">
        <v>2331</v>
      </c>
      <c r="S395">
        <v>4</v>
      </c>
      <c r="T395" s="2">
        <v>0.15</v>
      </c>
      <c r="U395" t="s">
        <v>2332</v>
      </c>
    </row>
    <row r="396" spans="1:21">
      <c r="A396">
        <v>359</v>
      </c>
      <c r="B396" t="s">
        <v>2333</v>
      </c>
      <c r="C396" s="1">
        <v>45299</v>
      </c>
      <c r="D396" s="1">
        <v>45305</v>
      </c>
      <c r="E396" t="s">
        <v>36</v>
      </c>
      <c r="F396" t="s">
        <v>2334</v>
      </c>
      <c r="G396" t="s">
        <v>142</v>
      </c>
      <c r="H396" t="s">
        <v>39</v>
      </c>
      <c r="I396" t="s">
        <v>26</v>
      </c>
      <c r="J396" t="s">
        <v>212</v>
      </c>
      <c r="K396" t="s">
        <v>212</v>
      </c>
      <c r="L396">
        <v>81776</v>
      </c>
      <c r="M396" t="s">
        <v>28</v>
      </c>
      <c r="N396" t="s">
        <v>2003</v>
      </c>
      <c r="O396" t="s">
        <v>43</v>
      </c>
      <c r="P396" t="s">
        <v>166</v>
      </c>
      <c r="Q396" t="s">
        <v>1647</v>
      </c>
      <c r="R396" t="s">
        <v>2335</v>
      </c>
      <c r="S396">
        <v>7</v>
      </c>
      <c r="T396" s="2">
        <v>0.5</v>
      </c>
      <c r="U396" t="s">
        <v>2336</v>
      </c>
    </row>
    <row r="397" spans="1:21">
      <c r="A397">
        <v>106</v>
      </c>
      <c r="B397" t="s">
        <v>2337</v>
      </c>
      <c r="C397" s="1">
        <v>45299</v>
      </c>
      <c r="D397" s="1">
        <v>45300</v>
      </c>
      <c r="E397" t="s">
        <v>36</v>
      </c>
      <c r="F397" t="s">
        <v>2338</v>
      </c>
      <c r="G397" t="s">
        <v>1429</v>
      </c>
      <c r="H397" t="s">
        <v>25</v>
      </c>
      <c r="I397" t="s">
        <v>26</v>
      </c>
      <c r="J397" t="s">
        <v>204</v>
      </c>
      <c r="K397" t="s">
        <v>204</v>
      </c>
      <c r="L397">
        <v>93362</v>
      </c>
      <c r="M397" t="s">
        <v>28</v>
      </c>
      <c r="N397" t="s">
        <v>2339</v>
      </c>
      <c r="O397" t="s">
        <v>43</v>
      </c>
      <c r="P397" t="s">
        <v>128</v>
      </c>
      <c r="Q397" t="s">
        <v>2340</v>
      </c>
      <c r="R397" t="s">
        <v>2341</v>
      </c>
      <c r="S397">
        <v>4</v>
      </c>
      <c r="T397" s="2">
        <v>0.1</v>
      </c>
      <c r="U397" t="s">
        <v>2342</v>
      </c>
    </row>
    <row r="398" spans="1:21">
      <c r="A398">
        <v>73</v>
      </c>
      <c r="B398" t="s">
        <v>2343</v>
      </c>
      <c r="C398" s="1">
        <v>45299</v>
      </c>
      <c r="D398" s="1">
        <v>45304</v>
      </c>
      <c r="E398" t="s">
        <v>36</v>
      </c>
      <c r="F398" t="s">
        <v>2344</v>
      </c>
      <c r="G398" t="s">
        <v>103</v>
      </c>
      <c r="H398" t="s">
        <v>39</v>
      </c>
      <c r="I398" t="s">
        <v>26</v>
      </c>
      <c r="J398" t="s">
        <v>301</v>
      </c>
      <c r="K398" t="s">
        <v>301</v>
      </c>
      <c r="L398">
        <v>19903</v>
      </c>
      <c r="M398" t="s">
        <v>73</v>
      </c>
      <c r="N398" t="s">
        <v>2345</v>
      </c>
      <c r="O398" t="s">
        <v>43</v>
      </c>
      <c r="P398" t="s">
        <v>214</v>
      </c>
      <c r="Q398" t="s">
        <v>2264</v>
      </c>
      <c r="R398" t="s">
        <v>2346</v>
      </c>
      <c r="S398">
        <v>2</v>
      </c>
      <c r="T398" s="2">
        <v>0.15</v>
      </c>
      <c r="U398" t="s">
        <v>1084</v>
      </c>
    </row>
    <row r="399" spans="1:21">
      <c r="A399">
        <v>495</v>
      </c>
      <c r="B399" t="s">
        <v>2347</v>
      </c>
      <c r="C399" s="1">
        <v>45301</v>
      </c>
      <c r="D399" s="1">
        <v>45304</v>
      </c>
      <c r="E399" t="s">
        <v>49</v>
      </c>
      <c r="F399" t="s">
        <v>2348</v>
      </c>
      <c r="G399" t="s">
        <v>1154</v>
      </c>
      <c r="H399" t="s">
        <v>39</v>
      </c>
      <c r="I399" t="s">
        <v>26</v>
      </c>
      <c r="J399" t="s">
        <v>438</v>
      </c>
      <c r="K399" t="s">
        <v>438</v>
      </c>
      <c r="L399">
        <v>96158</v>
      </c>
      <c r="M399" t="s">
        <v>28</v>
      </c>
      <c r="N399" t="s">
        <v>268</v>
      </c>
      <c r="O399" t="s">
        <v>64</v>
      </c>
      <c r="P399" t="s">
        <v>136</v>
      </c>
      <c r="Q399" t="s">
        <v>2349</v>
      </c>
      <c r="R399" t="s">
        <v>2350</v>
      </c>
      <c r="S399">
        <v>4</v>
      </c>
      <c r="T399" s="2">
        <v>0.4</v>
      </c>
      <c r="U399" t="s">
        <v>1575</v>
      </c>
    </row>
    <row r="400" spans="1:21">
      <c r="A400">
        <v>114</v>
      </c>
      <c r="B400" t="s">
        <v>2351</v>
      </c>
      <c r="C400" s="1">
        <v>45305</v>
      </c>
      <c r="D400" s="1">
        <v>45309</v>
      </c>
      <c r="E400" t="s">
        <v>382</v>
      </c>
      <c r="F400" t="s">
        <v>2352</v>
      </c>
      <c r="G400" t="s">
        <v>180</v>
      </c>
      <c r="H400" t="s">
        <v>25</v>
      </c>
      <c r="I400" t="s">
        <v>26</v>
      </c>
      <c r="J400" t="s">
        <v>173</v>
      </c>
      <c r="K400" t="s">
        <v>173</v>
      </c>
      <c r="L400">
        <v>38671</v>
      </c>
      <c r="M400" t="s">
        <v>73</v>
      </c>
      <c r="N400" t="s">
        <v>2353</v>
      </c>
      <c r="O400" t="s">
        <v>43</v>
      </c>
      <c r="P400" t="s">
        <v>189</v>
      </c>
      <c r="Q400" t="s">
        <v>2354</v>
      </c>
      <c r="R400" t="s">
        <v>2355</v>
      </c>
      <c r="S400">
        <v>5</v>
      </c>
      <c r="T400" s="2">
        <v>0.1</v>
      </c>
      <c r="U400" t="s">
        <v>2356</v>
      </c>
    </row>
    <row r="401" spans="1:21">
      <c r="A401">
        <v>296</v>
      </c>
      <c r="B401" t="s">
        <v>2357</v>
      </c>
      <c r="C401" s="1">
        <v>45309</v>
      </c>
      <c r="D401" s="1">
        <v>45310</v>
      </c>
      <c r="E401" t="s">
        <v>49</v>
      </c>
      <c r="F401" t="s">
        <v>2358</v>
      </c>
      <c r="G401" t="s">
        <v>187</v>
      </c>
      <c r="H401" t="s">
        <v>25</v>
      </c>
      <c r="I401" t="s">
        <v>26</v>
      </c>
      <c r="J401" t="s">
        <v>72</v>
      </c>
      <c r="K401" t="s">
        <v>72</v>
      </c>
      <c r="L401">
        <v>29773</v>
      </c>
      <c r="M401" t="s">
        <v>73</v>
      </c>
      <c r="N401" t="s">
        <v>1386</v>
      </c>
      <c r="O401" t="s">
        <v>43</v>
      </c>
      <c r="P401" t="s">
        <v>44</v>
      </c>
      <c r="Q401" t="s">
        <v>1420</v>
      </c>
      <c r="R401" t="s">
        <v>2359</v>
      </c>
      <c r="S401">
        <v>5</v>
      </c>
      <c r="T401" s="2">
        <v>0.05</v>
      </c>
      <c r="U401" t="s">
        <v>2104</v>
      </c>
    </row>
    <row r="402" spans="1:21">
      <c r="A402">
        <v>272</v>
      </c>
      <c r="B402" t="s">
        <v>2360</v>
      </c>
      <c r="C402" s="1">
        <v>45313</v>
      </c>
      <c r="D402" s="1">
        <v>45315</v>
      </c>
      <c r="E402" t="s">
        <v>36</v>
      </c>
      <c r="F402" t="s">
        <v>2361</v>
      </c>
      <c r="G402" t="s">
        <v>267</v>
      </c>
      <c r="H402" t="s">
        <v>25</v>
      </c>
      <c r="I402" t="s">
        <v>26</v>
      </c>
      <c r="J402" t="s">
        <v>96</v>
      </c>
      <c r="K402" t="s">
        <v>96</v>
      </c>
      <c r="L402">
        <v>58994</v>
      </c>
      <c r="M402" t="s">
        <v>28</v>
      </c>
      <c r="N402" t="s">
        <v>2353</v>
      </c>
      <c r="O402" t="s">
        <v>43</v>
      </c>
      <c r="P402" t="s">
        <v>189</v>
      </c>
      <c r="Q402" t="s">
        <v>190</v>
      </c>
      <c r="R402" t="s">
        <v>2362</v>
      </c>
      <c r="S402">
        <v>3</v>
      </c>
      <c r="T402" s="2">
        <v>0.1</v>
      </c>
      <c r="U402" t="s">
        <v>2363</v>
      </c>
    </row>
    <row r="403" spans="1:21">
      <c r="A403">
        <v>528</v>
      </c>
      <c r="B403" t="s">
        <v>2364</v>
      </c>
      <c r="C403" s="1">
        <v>45314</v>
      </c>
      <c r="D403" s="1">
        <v>45317</v>
      </c>
      <c r="E403" t="s">
        <v>36</v>
      </c>
      <c r="F403" t="s">
        <v>2365</v>
      </c>
      <c r="G403" t="s">
        <v>315</v>
      </c>
      <c r="H403" t="s">
        <v>39</v>
      </c>
      <c r="I403" t="s">
        <v>26</v>
      </c>
      <c r="J403" t="s">
        <v>96</v>
      </c>
      <c r="K403" t="s">
        <v>96</v>
      </c>
      <c r="L403">
        <v>26702</v>
      </c>
      <c r="M403" t="s">
        <v>28</v>
      </c>
      <c r="N403" t="s">
        <v>2366</v>
      </c>
      <c r="O403" t="s">
        <v>43</v>
      </c>
      <c r="P403" t="s">
        <v>44</v>
      </c>
      <c r="Q403" t="s">
        <v>90</v>
      </c>
      <c r="R403" t="s">
        <v>2367</v>
      </c>
      <c r="S403">
        <v>5</v>
      </c>
      <c r="T403" s="2">
        <v>0.3</v>
      </c>
      <c r="U403" t="s">
        <v>2368</v>
      </c>
    </row>
    <row r="404" spans="1:21">
      <c r="A404">
        <v>339</v>
      </c>
      <c r="B404" t="s">
        <v>2369</v>
      </c>
      <c r="C404" s="1">
        <v>45315</v>
      </c>
      <c r="D404" s="1">
        <v>45318</v>
      </c>
      <c r="E404" t="s">
        <v>22</v>
      </c>
      <c r="F404" t="s">
        <v>2370</v>
      </c>
      <c r="G404" t="s">
        <v>959</v>
      </c>
      <c r="H404" t="s">
        <v>25</v>
      </c>
      <c r="I404" t="s">
        <v>26</v>
      </c>
      <c r="J404" t="s">
        <v>229</v>
      </c>
      <c r="K404" t="s">
        <v>229</v>
      </c>
      <c r="L404">
        <v>78593</v>
      </c>
      <c r="M404" t="s">
        <v>73</v>
      </c>
      <c r="N404" t="s">
        <v>2371</v>
      </c>
      <c r="O404" t="s">
        <v>30</v>
      </c>
      <c r="P404" t="s">
        <v>31</v>
      </c>
      <c r="Q404" t="s">
        <v>582</v>
      </c>
      <c r="R404" t="s">
        <v>2372</v>
      </c>
      <c r="S404">
        <v>5</v>
      </c>
      <c r="T404" s="2">
        <v>0</v>
      </c>
      <c r="U404" t="s">
        <v>2373</v>
      </c>
    </row>
    <row r="405" spans="1:21">
      <c r="A405">
        <v>391</v>
      </c>
      <c r="B405" t="s">
        <v>2374</v>
      </c>
      <c r="C405" s="1">
        <v>45318</v>
      </c>
      <c r="D405" s="1">
        <v>45320</v>
      </c>
      <c r="E405" t="s">
        <v>36</v>
      </c>
      <c r="F405" t="s">
        <v>2375</v>
      </c>
      <c r="G405" t="s">
        <v>418</v>
      </c>
      <c r="H405" t="s">
        <v>60</v>
      </c>
      <c r="I405" t="s">
        <v>26</v>
      </c>
      <c r="J405" t="s">
        <v>173</v>
      </c>
      <c r="K405" t="s">
        <v>173</v>
      </c>
      <c r="L405">
        <v>17910</v>
      </c>
      <c r="M405" t="s">
        <v>73</v>
      </c>
      <c r="N405" t="s">
        <v>2376</v>
      </c>
      <c r="O405" t="s">
        <v>30</v>
      </c>
      <c r="P405" t="s">
        <v>31</v>
      </c>
      <c r="Q405" t="s">
        <v>726</v>
      </c>
      <c r="R405" t="s">
        <v>2377</v>
      </c>
      <c r="S405">
        <v>5</v>
      </c>
      <c r="T405" s="2">
        <v>0.1</v>
      </c>
      <c r="U405" t="s">
        <v>2378</v>
      </c>
    </row>
    <row r="406" spans="1:21">
      <c r="A406">
        <v>493</v>
      </c>
      <c r="B406" t="s">
        <v>2379</v>
      </c>
      <c r="C406" s="1">
        <v>45318</v>
      </c>
      <c r="D406" s="1">
        <v>45323</v>
      </c>
      <c r="E406" t="s">
        <v>36</v>
      </c>
      <c r="F406" t="s">
        <v>2380</v>
      </c>
      <c r="G406" t="s">
        <v>554</v>
      </c>
      <c r="H406" t="s">
        <v>39</v>
      </c>
      <c r="I406" t="s">
        <v>26</v>
      </c>
      <c r="J406" t="s">
        <v>237</v>
      </c>
      <c r="K406" t="s">
        <v>237</v>
      </c>
      <c r="L406">
        <v>16212</v>
      </c>
      <c r="M406" t="s">
        <v>41</v>
      </c>
      <c r="N406" t="s">
        <v>2381</v>
      </c>
      <c r="O406" t="s">
        <v>64</v>
      </c>
      <c r="P406" t="s">
        <v>405</v>
      </c>
      <c r="Q406" t="s">
        <v>2382</v>
      </c>
      <c r="R406" t="s">
        <v>2383</v>
      </c>
      <c r="S406">
        <v>7</v>
      </c>
      <c r="T406" s="2">
        <v>0.2</v>
      </c>
      <c r="U406" t="s">
        <v>2384</v>
      </c>
    </row>
    <row r="407" spans="1:21">
      <c r="A407">
        <v>508</v>
      </c>
      <c r="B407" t="s">
        <v>2385</v>
      </c>
      <c r="C407" s="1">
        <v>45320</v>
      </c>
      <c r="D407" s="1">
        <v>45321</v>
      </c>
      <c r="E407" t="s">
        <v>382</v>
      </c>
      <c r="F407" t="s">
        <v>2386</v>
      </c>
      <c r="G407" t="s">
        <v>775</v>
      </c>
      <c r="H407" t="s">
        <v>60</v>
      </c>
      <c r="I407" t="s">
        <v>26</v>
      </c>
      <c r="J407" t="s">
        <v>301</v>
      </c>
      <c r="K407" t="s">
        <v>301</v>
      </c>
      <c r="L407">
        <v>40846</v>
      </c>
      <c r="M407" t="s">
        <v>73</v>
      </c>
      <c r="N407" t="s">
        <v>2387</v>
      </c>
      <c r="O407" t="s">
        <v>43</v>
      </c>
      <c r="P407" t="s">
        <v>83</v>
      </c>
      <c r="Q407" t="s">
        <v>427</v>
      </c>
      <c r="R407" t="s">
        <v>2388</v>
      </c>
      <c r="S407">
        <v>3</v>
      </c>
      <c r="T407" s="2">
        <v>0.3</v>
      </c>
      <c r="U407" t="s">
        <v>2389</v>
      </c>
    </row>
    <row r="408" spans="1:21">
      <c r="A408">
        <v>307</v>
      </c>
      <c r="B408" t="s">
        <v>2390</v>
      </c>
      <c r="C408" s="1">
        <v>45323</v>
      </c>
      <c r="D408" s="1">
        <v>45326</v>
      </c>
      <c r="E408" t="s">
        <v>36</v>
      </c>
      <c r="F408" t="s">
        <v>2391</v>
      </c>
      <c r="G408" t="s">
        <v>939</v>
      </c>
      <c r="H408" t="s">
        <v>25</v>
      </c>
      <c r="I408" t="s">
        <v>26</v>
      </c>
      <c r="J408" t="s">
        <v>204</v>
      </c>
      <c r="K408" t="s">
        <v>204</v>
      </c>
      <c r="L408">
        <v>72894</v>
      </c>
      <c r="M408" t="s">
        <v>28</v>
      </c>
      <c r="N408" t="s">
        <v>1515</v>
      </c>
      <c r="O408" t="s">
        <v>64</v>
      </c>
      <c r="P408" t="s">
        <v>105</v>
      </c>
      <c r="Q408" t="s">
        <v>2392</v>
      </c>
      <c r="R408" t="s">
        <v>2393</v>
      </c>
      <c r="S408">
        <v>3</v>
      </c>
      <c r="T408" s="2">
        <v>0.1</v>
      </c>
      <c r="U408" t="s">
        <v>2394</v>
      </c>
    </row>
    <row r="409" spans="1:21">
      <c r="A409">
        <v>126</v>
      </c>
      <c r="B409" t="s">
        <v>2395</v>
      </c>
      <c r="C409" s="1">
        <v>45324</v>
      </c>
      <c r="D409" s="1">
        <v>45328</v>
      </c>
      <c r="E409" t="s">
        <v>36</v>
      </c>
      <c r="F409" t="s">
        <v>2396</v>
      </c>
      <c r="G409" t="s">
        <v>982</v>
      </c>
      <c r="H409" t="s">
        <v>25</v>
      </c>
      <c r="I409" t="s">
        <v>26</v>
      </c>
      <c r="J409" t="s">
        <v>40</v>
      </c>
      <c r="K409" t="s">
        <v>40</v>
      </c>
      <c r="L409">
        <v>24472</v>
      </c>
      <c r="M409" t="s">
        <v>41</v>
      </c>
      <c r="N409" t="s">
        <v>2397</v>
      </c>
      <c r="O409" t="s">
        <v>64</v>
      </c>
      <c r="P409" t="s">
        <v>105</v>
      </c>
      <c r="Q409" t="s">
        <v>1992</v>
      </c>
      <c r="R409" t="s">
        <v>2398</v>
      </c>
      <c r="S409">
        <v>7</v>
      </c>
      <c r="T409" s="2">
        <v>0.3</v>
      </c>
      <c r="U409" t="s">
        <v>2399</v>
      </c>
    </row>
    <row r="410" spans="1:21">
      <c r="A410">
        <v>111</v>
      </c>
      <c r="B410" t="s">
        <v>2400</v>
      </c>
      <c r="C410" s="1">
        <v>45325</v>
      </c>
      <c r="D410" s="1">
        <v>45328</v>
      </c>
      <c r="E410" t="s">
        <v>36</v>
      </c>
      <c r="F410" t="s">
        <v>2401</v>
      </c>
      <c r="G410" t="s">
        <v>1253</v>
      </c>
      <c r="H410" t="s">
        <v>25</v>
      </c>
      <c r="I410" t="s">
        <v>26</v>
      </c>
      <c r="J410" t="s">
        <v>212</v>
      </c>
      <c r="K410" t="s">
        <v>212</v>
      </c>
      <c r="L410">
        <v>61196</v>
      </c>
      <c r="M410" t="s">
        <v>28</v>
      </c>
      <c r="N410" t="s">
        <v>1160</v>
      </c>
      <c r="O410" t="s">
        <v>64</v>
      </c>
      <c r="P410" t="s">
        <v>65</v>
      </c>
      <c r="Q410" t="s">
        <v>714</v>
      </c>
      <c r="R410" t="s">
        <v>2402</v>
      </c>
      <c r="S410">
        <v>7</v>
      </c>
      <c r="T410" s="2">
        <v>0.3</v>
      </c>
      <c r="U410" t="s">
        <v>2403</v>
      </c>
    </row>
    <row r="411" spans="1:21">
      <c r="A411">
        <v>303</v>
      </c>
      <c r="B411" t="s">
        <v>2404</v>
      </c>
      <c r="C411" s="1">
        <v>45326</v>
      </c>
      <c r="D411" s="1">
        <v>45329</v>
      </c>
      <c r="E411" t="s">
        <v>36</v>
      </c>
      <c r="F411" t="s">
        <v>2405</v>
      </c>
      <c r="G411" t="s">
        <v>293</v>
      </c>
      <c r="H411" t="s">
        <v>25</v>
      </c>
      <c r="I411" t="s">
        <v>26</v>
      </c>
      <c r="J411" t="s">
        <v>61</v>
      </c>
      <c r="K411" t="s">
        <v>61</v>
      </c>
      <c r="L411">
        <v>29065</v>
      </c>
      <c r="M411" t="s">
        <v>62</v>
      </c>
      <c r="N411" t="s">
        <v>2406</v>
      </c>
      <c r="O411" t="s">
        <v>64</v>
      </c>
      <c r="P411" t="s">
        <v>136</v>
      </c>
      <c r="Q411" t="s">
        <v>2222</v>
      </c>
      <c r="R411" t="s">
        <v>2407</v>
      </c>
      <c r="S411">
        <v>5</v>
      </c>
      <c r="T411" s="2">
        <v>0.3</v>
      </c>
      <c r="U411" t="s">
        <v>2408</v>
      </c>
    </row>
    <row r="412" spans="1:21">
      <c r="A412">
        <v>476</v>
      </c>
      <c r="B412" t="s">
        <v>2409</v>
      </c>
      <c r="C412" s="1">
        <v>45327</v>
      </c>
      <c r="D412" s="1">
        <v>45330</v>
      </c>
      <c r="E412" t="s">
        <v>36</v>
      </c>
      <c r="F412" t="s">
        <v>2410</v>
      </c>
      <c r="G412" t="s">
        <v>525</v>
      </c>
      <c r="H412" t="s">
        <v>39</v>
      </c>
      <c r="I412" t="s">
        <v>26</v>
      </c>
      <c r="J412" t="s">
        <v>27</v>
      </c>
      <c r="K412" t="s">
        <v>27</v>
      </c>
      <c r="L412">
        <v>89409</v>
      </c>
      <c r="M412" t="s">
        <v>28</v>
      </c>
      <c r="N412" t="s">
        <v>2411</v>
      </c>
      <c r="O412" t="s">
        <v>30</v>
      </c>
      <c r="P412" t="s">
        <v>120</v>
      </c>
      <c r="Q412" t="s">
        <v>576</v>
      </c>
      <c r="R412" t="s">
        <v>2412</v>
      </c>
      <c r="S412">
        <v>2</v>
      </c>
      <c r="T412" s="2">
        <v>0.2</v>
      </c>
      <c r="U412" t="s">
        <v>2413</v>
      </c>
    </row>
    <row r="413" spans="1:21">
      <c r="A413">
        <v>335</v>
      </c>
      <c r="B413" t="s">
        <v>2414</v>
      </c>
      <c r="C413" s="1">
        <v>45329</v>
      </c>
      <c r="D413" s="1">
        <v>45335</v>
      </c>
      <c r="E413" t="s">
        <v>36</v>
      </c>
      <c r="F413" t="s">
        <v>2415</v>
      </c>
      <c r="G413" t="s">
        <v>2416</v>
      </c>
      <c r="H413" t="s">
        <v>25</v>
      </c>
      <c r="I413" t="s">
        <v>26</v>
      </c>
      <c r="J413" t="s">
        <v>260</v>
      </c>
      <c r="K413" t="s">
        <v>260</v>
      </c>
      <c r="L413">
        <v>52292</v>
      </c>
      <c r="M413" t="s">
        <v>41</v>
      </c>
      <c r="N413" t="s">
        <v>892</v>
      </c>
      <c r="O413" t="s">
        <v>64</v>
      </c>
      <c r="P413" t="s">
        <v>136</v>
      </c>
      <c r="Q413" t="s">
        <v>1189</v>
      </c>
      <c r="R413" t="s">
        <v>2417</v>
      </c>
      <c r="S413">
        <v>6</v>
      </c>
      <c r="T413" s="2">
        <v>0.5</v>
      </c>
      <c r="U413" t="s">
        <v>2418</v>
      </c>
    </row>
    <row r="414" spans="1:21">
      <c r="A414">
        <v>118</v>
      </c>
      <c r="B414" t="s">
        <v>2419</v>
      </c>
      <c r="C414" s="1">
        <v>45331</v>
      </c>
      <c r="D414" s="1">
        <v>45334</v>
      </c>
      <c r="E414" t="s">
        <v>49</v>
      </c>
      <c r="F414" t="s">
        <v>2420</v>
      </c>
      <c r="G414" t="s">
        <v>1063</v>
      </c>
      <c r="H414" t="s">
        <v>39</v>
      </c>
      <c r="I414" t="s">
        <v>26</v>
      </c>
      <c r="J414" t="s">
        <v>72</v>
      </c>
      <c r="K414" t="s">
        <v>72</v>
      </c>
      <c r="L414">
        <v>87811</v>
      </c>
      <c r="M414" t="s">
        <v>73</v>
      </c>
      <c r="N414" t="s">
        <v>2421</v>
      </c>
      <c r="O414" t="s">
        <v>64</v>
      </c>
      <c r="P414" t="s">
        <v>105</v>
      </c>
      <c r="Q414" t="s">
        <v>1769</v>
      </c>
      <c r="R414" t="s">
        <v>2422</v>
      </c>
      <c r="S414">
        <v>6</v>
      </c>
      <c r="T414" s="2">
        <v>0.15</v>
      </c>
      <c r="U414" t="s">
        <v>2423</v>
      </c>
    </row>
    <row r="415" spans="1:21">
      <c r="A415">
        <v>161</v>
      </c>
      <c r="B415" t="s">
        <v>2424</v>
      </c>
      <c r="C415" s="1">
        <v>45333</v>
      </c>
      <c r="D415" s="1">
        <v>45337</v>
      </c>
      <c r="E415" t="s">
        <v>36</v>
      </c>
      <c r="F415" t="s">
        <v>2425</v>
      </c>
      <c r="G415" t="s">
        <v>1657</v>
      </c>
      <c r="H415" t="s">
        <v>25</v>
      </c>
      <c r="I415" t="s">
        <v>26</v>
      </c>
      <c r="J415" t="s">
        <v>52</v>
      </c>
      <c r="K415" t="s">
        <v>52</v>
      </c>
      <c r="L415">
        <v>15845</v>
      </c>
      <c r="M415" t="s">
        <v>41</v>
      </c>
      <c r="N415" t="s">
        <v>2426</v>
      </c>
      <c r="O415" t="s">
        <v>30</v>
      </c>
      <c r="P415" t="s">
        <v>31</v>
      </c>
      <c r="Q415" t="s">
        <v>1130</v>
      </c>
      <c r="R415" t="s">
        <v>2427</v>
      </c>
      <c r="S415">
        <v>3</v>
      </c>
      <c r="T415" s="2">
        <v>0.1</v>
      </c>
      <c r="U415" t="s">
        <v>2428</v>
      </c>
    </row>
    <row r="416" spans="1:21">
      <c r="A416">
        <v>104</v>
      </c>
      <c r="B416" t="s">
        <v>2429</v>
      </c>
      <c r="C416" s="1">
        <v>45337</v>
      </c>
      <c r="D416" s="1">
        <v>45342</v>
      </c>
      <c r="E416" t="s">
        <v>36</v>
      </c>
      <c r="F416" t="s">
        <v>2430</v>
      </c>
      <c r="G416" t="s">
        <v>1429</v>
      </c>
      <c r="H416" t="s">
        <v>25</v>
      </c>
      <c r="I416" t="s">
        <v>26</v>
      </c>
      <c r="J416" t="s">
        <v>81</v>
      </c>
      <c r="K416" t="s">
        <v>81</v>
      </c>
      <c r="L416">
        <v>10207</v>
      </c>
      <c r="M416" t="s">
        <v>62</v>
      </c>
      <c r="N416" t="s">
        <v>2431</v>
      </c>
      <c r="O416" t="s">
        <v>43</v>
      </c>
      <c r="P416" t="s">
        <v>83</v>
      </c>
      <c r="Q416" t="s">
        <v>2432</v>
      </c>
      <c r="R416" t="s">
        <v>2433</v>
      </c>
      <c r="S416">
        <v>6</v>
      </c>
      <c r="T416" s="2">
        <v>0.15</v>
      </c>
      <c r="U416" t="s">
        <v>1633</v>
      </c>
    </row>
    <row r="417" spans="1:21">
      <c r="A417">
        <v>409</v>
      </c>
      <c r="B417" t="s">
        <v>2434</v>
      </c>
      <c r="C417" s="1">
        <v>45339</v>
      </c>
      <c r="D417" s="1">
        <v>45343</v>
      </c>
      <c r="E417" t="s">
        <v>36</v>
      </c>
      <c r="F417" t="s">
        <v>2435</v>
      </c>
      <c r="G417" t="s">
        <v>228</v>
      </c>
      <c r="H417" t="s">
        <v>25</v>
      </c>
      <c r="I417" t="s">
        <v>26</v>
      </c>
      <c r="J417" t="s">
        <v>245</v>
      </c>
      <c r="K417" t="s">
        <v>245</v>
      </c>
      <c r="L417">
        <v>79795</v>
      </c>
      <c r="M417" t="s">
        <v>41</v>
      </c>
      <c r="N417" t="s">
        <v>2436</v>
      </c>
      <c r="O417" t="s">
        <v>43</v>
      </c>
      <c r="P417" t="s">
        <v>214</v>
      </c>
      <c r="Q417" t="s">
        <v>2437</v>
      </c>
      <c r="R417" t="s">
        <v>2438</v>
      </c>
      <c r="S417">
        <v>2</v>
      </c>
      <c r="T417" s="2">
        <v>0</v>
      </c>
      <c r="U417" t="s">
        <v>2439</v>
      </c>
    </row>
    <row r="418" spans="1:21">
      <c r="A418">
        <v>53</v>
      </c>
      <c r="B418" t="s">
        <v>2440</v>
      </c>
      <c r="C418" s="1">
        <v>45340</v>
      </c>
      <c r="D418" s="1">
        <v>45343</v>
      </c>
      <c r="E418" t="s">
        <v>36</v>
      </c>
      <c r="F418" t="s">
        <v>2441</v>
      </c>
      <c r="G418" t="s">
        <v>322</v>
      </c>
      <c r="H418" t="s">
        <v>60</v>
      </c>
      <c r="I418" t="s">
        <v>26</v>
      </c>
      <c r="J418" t="s">
        <v>61</v>
      </c>
      <c r="K418" t="s">
        <v>61</v>
      </c>
      <c r="L418">
        <v>67545</v>
      </c>
      <c r="M418" t="s">
        <v>62</v>
      </c>
      <c r="N418" t="s">
        <v>2442</v>
      </c>
      <c r="O418" t="s">
        <v>30</v>
      </c>
      <c r="P418" t="s">
        <v>197</v>
      </c>
      <c r="Q418" t="s">
        <v>2443</v>
      </c>
      <c r="R418" t="s">
        <v>2444</v>
      </c>
      <c r="S418">
        <v>6</v>
      </c>
      <c r="T418" s="2">
        <v>0.15</v>
      </c>
      <c r="U418" t="s">
        <v>2445</v>
      </c>
    </row>
    <row r="419" spans="1:21">
      <c r="A419">
        <v>6</v>
      </c>
      <c r="B419" t="s">
        <v>2446</v>
      </c>
      <c r="C419" s="1">
        <v>45341</v>
      </c>
      <c r="D419" s="1">
        <v>45344</v>
      </c>
      <c r="E419" t="s">
        <v>49</v>
      </c>
      <c r="F419" t="s">
        <v>2447</v>
      </c>
      <c r="G419" t="s">
        <v>1087</v>
      </c>
      <c r="H419" t="s">
        <v>25</v>
      </c>
      <c r="I419" t="s">
        <v>26</v>
      </c>
      <c r="J419" t="s">
        <v>96</v>
      </c>
      <c r="K419" t="s">
        <v>96</v>
      </c>
      <c r="L419">
        <v>97897</v>
      </c>
      <c r="M419" t="s">
        <v>28</v>
      </c>
      <c r="N419" t="s">
        <v>2448</v>
      </c>
      <c r="O419" t="s">
        <v>43</v>
      </c>
      <c r="P419" t="s">
        <v>189</v>
      </c>
      <c r="Q419" t="s">
        <v>905</v>
      </c>
      <c r="R419" t="s">
        <v>2449</v>
      </c>
      <c r="S419">
        <v>5</v>
      </c>
      <c r="T419" s="2">
        <v>0.15</v>
      </c>
      <c r="U419" t="s">
        <v>2450</v>
      </c>
    </row>
    <row r="420" spans="1:21">
      <c r="A420">
        <v>75</v>
      </c>
      <c r="B420" t="s">
        <v>2451</v>
      </c>
      <c r="C420" s="1">
        <v>45342</v>
      </c>
      <c r="D420" s="1">
        <v>45346</v>
      </c>
      <c r="E420" t="s">
        <v>49</v>
      </c>
      <c r="F420" t="s">
        <v>2452</v>
      </c>
      <c r="G420" t="s">
        <v>492</v>
      </c>
      <c r="H420" t="s">
        <v>39</v>
      </c>
      <c r="I420" t="s">
        <v>26</v>
      </c>
      <c r="J420" t="s">
        <v>150</v>
      </c>
      <c r="K420" t="s">
        <v>150</v>
      </c>
      <c r="L420">
        <v>43062</v>
      </c>
      <c r="M420" t="s">
        <v>73</v>
      </c>
      <c r="N420" t="s">
        <v>2453</v>
      </c>
      <c r="O420" t="s">
        <v>64</v>
      </c>
      <c r="P420" t="s">
        <v>105</v>
      </c>
      <c r="Q420" t="s">
        <v>549</v>
      </c>
      <c r="R420" t="s">
        <v>2454</v>
      </c>
      <c r="S420">
        <v>7</v>
      </c>
      <c r="T420" s="2">
        <v>0</v>
      </c>
      <c r="U420" t="s">
        <v>1203</v>
      </c>
    </row>
    <row r="421" spans="1:21">
      <c r="A421">
        <v>275</v>
      </c>
      <c r="B421" t="s">
        <v>2455</v>
      </c>
      <c r="C421" s="1">
        <v>45343</v>
      </c>
      <c r="D421" s="1">
        <v>45345</v>
      </c>
      <c r="E421" t="s">
        <v>36</v>
      </c>
      <c r="F421" t="s">
        <v>2456</v>
      </c>
      <c r="G421" t="s">
        <v>71</v>
      </c>
      <c r="H421" t="s">
        <v>25</v>
      </c>
      <c r="I421" t="s">
        <v>26</v>
      </c>
      <c r="J421" t="s">
        <v>363</v>
      </c>
      <c r="K421" t="s">
        <v>363</v>
      </c>
      <c r="L421">
        <v>21350</v>
      </c>
      <c r="M421" t="s">
        <v>62</v>
      </c>
      <c r="N421" t="s">
        <v>2366</v>
      </c>
      <c r="O421" t="s">
        <v>43</v>
      </c>
      <c r="P421" t="s">
        <v>166</v>
      </c>
      <c r="Q421" t="s">
        <v>2457</v>
      </c>
      <c r="R421" t="s">
        <v>2458</v>
      </c>
      <c r="S421">
        <v>6</v>
      </c>
      <c r="T421" s="2">
        <v>0.4</v>
      </c>
      <c r="U421" t="s">
        <v>2459</v>
      </c>
    </row>
    <row r="422" spans="1:21">
      <c r="A422">
        <v>407</v>
      </c>
      <c r="B422" t="s">
        <v>2460</v>
      </c>
      <c r="C422" s="1">
        <v>45346</v>
      </c>
      <c r="D422" s="1">
        <v>45349</v>
      </c>
      <c r="E422" t="s">
        <v>36</v>
      </c>
      <c r="F422" t="s">
        <v>2461</v>
      </c>
      <c r="G422" t="s">
        <v>432</v>
      </c>
      <c r="H422" t="s">
        <v>25</v>
      </c>
      <c r="I422" t="s">
        <v>26</v>
      </c>
      <c r="J422" t="s">
        <v>150</v>
      </c>
      <c r="K422" t="s">
        <v>150</v>
      </c>
      <c r="L422">
        <v>38906</v>
      </c>
      <c r="M422" t="s">
        <v>73</v>
      </c>
      <c r="N422" t="s">
        <v>2462</v>
      </c>
      <c r="O422" t="s">
        <v>30</v>
      </c>
      <c r="P422" t="s">
        <v>31</v>
      </c>
      <c r="Q422" t="s">
        <v>1521</v>
      </c>
      <c r="R422" t="s">
        <v>2463</v>
      </c>
      <c r="S422">
        <v>2</v>
      </c>
      <c r="T422" s="2">
        <v>0.1</v>
      </c>
      <c r="U422" t="s">
        <v>2464</v>
      </c>
    </row>
    <row r="423" spans="1:21">
      <c r="A423">
        <v>249</v>
      </c>
      <c r="B423" t="s">
        <v>2465</v>
      </c>
      <c r="C423" s="1">
        <v>45346</v>
      </c>
      <c r="D423" s="1">
        <v>45351</v>
      </c>
      <c r="E423" t="s">
        <v>36</v>
      </c>
      <c r="F423" t="s">
        <v>2466</v>
      </c>
      <c r="G423" t="s">
        <v>329</v>
      </c>
      <c r="H423" t="s">
        <v>25</v>
      </c>
      <c r="I423" t="s">
        <v>26</v>
      </c>
      <c r="J423" t="s">
        <v>157</v>
      </c>
      <c r="K423" t="s">
        <v>157</v>
      </c>
      <c r="L423">
        <v>20283</v>
      </c>
      <c r="M423" t="s">
        <v>62</v>
      </c>
      <c r="N423" t="s">
        <v>634</v>
      </c>
      <c r="O423" t="s">
        <v>30</v>
      </c>
      <c r="P423" t="s">
        <v>120</v>
      </c>
      <c r="Q423" t="s">
        <v>783</v>
      </c>
      <c r="R423" t="s">
        <v>2467</v>
      </c>
      <c r="S423">
        <v>3</v>
      </c>
      <c r="T423" s="2">
        <v>0</v>
      </c>
      <c r="U423" t="s">
        <v>2468</v>
      </c>
    </row>
    <row r="424" spans="1:21">
      <c r="A424">
        <v>21</v>
      </c>
      <c r="B424" t="s">
        <v>2469</v>
      </c>
      <c r="C424" s="1">
        <v>45352</v>
      </c>
      <c r="D424" s="1">
        <v>45355</v>
      </c>
      <c r="E424" t="s">
        <v>36</v>
      </c>
      <c r="F424" t="s">
        <v>2470</v>
      </c>
      <c r="G424" t="s">
        <v>211</v>
      </c>
      <c r="H424" t="s">
        <v>60</v>
      </c>
      <c r="I424" t="s">
        <v>26</v>
      </c>
      <c r="J424" t="s">
        <v>438</v>
      </c>
      <c r="K424" t="s">
        <v>438</v>
      </c>
      <c r="L424">
        <v>69638</v>
      </c>
      <c r="M424" t="s">
        <v>28</v>
      </c>
      <c r="N424" t="s">
        <v>2471</v>
      </c>
      <c r="O424" t="s">
        <v>43</v>
      </c>
      <c r="P424" t="s">
        <v>128</v>
      </c>
      <c r="Q424" t="s">
        <v>911</v>
      </c>
      <c r="R424" t="s">
        <v>2472</v>
      </c>
      <c r="S424">
        <v>5</v>
      </c>
      <c r="T424" s="2">
        <v>0.2</v>
      </c>
      <c r="U424" t="s">
        <v>2473</v>
      </c>
    </row>
    <row r="425" spans="1:21">
      <c r="A425">
        <v>63</v>
      </c>
      <c r="B425" t="s">
        <v>2474</v>
      </c>
      <c r="C425" s="1">
        <v>45355</v>
      </c>
      <c r="D425" s="1">
        <v>45356</v>
      </c>
      <c r="E425" t="s">
        <v>49</v>
      </c>
      <c r="F425" t="s">
        <v>2475</v>
      </c>
      <c r="G425" t="s">
        <v>1555</v>
      </c>
      <c r="H425" t="s">
        <v>60</v>
      </c>
      <c r="I425" t="s">
        <v>26</v>
      </c>
      <c r="J425" t="s">
        <v>260</v>
      </c>
      <c r="K425" t="s">
        <v>260</v>
      </c>
      <c r="L425">
        <v>84478</v>
      </c>
      <c r="M425" t="s">
        <v>41</v>
      </c>
      <c r="N425" t="s">
        <v>2476</v>
      </c>
      <c r="O425" t="s">
        <v>30</v>
      </c>
      <c r="P425" t="s">
        <v>120</v>
      </c>
      <c r="Q425" t="s">
        <v>2117</v>
      </c>
      <c r="R425" t="s">
        <v>2477</v>
      </c>
      <c r="S425">
        <v>6</v>
      </c>
      <c r="T425" s="2">
        <v>0.2</v>
      </c>
      <c r="U425" t="s">
        <v>2478</v>
      </c>
    </row>
    <row r="426" spans="1:21">
      <c r="A426">
        <v>503</v>
      </c>
      <c r="B426" t="s">
        <v>2479</v>
      </c>
      <c r="C426" s="1">
        <v>45359</v>
      </c>
      <c r="D426" s="1">
        <v>45362</v>
      </c>
      <c r="E426" t="s">
        <v>49</v>
      </c>
      <c r="F426" t="s">
        <v>2480</v>
      </c>
      <c r="G426" t="s">
        <v>952</v>
      </c>
      <c r="H426" t="s">
        <v>25</v>
      </c>
      <c r="I426" t="s">
        <v>26</v>
      </c>
      <c r="J426" t="s">
        <v>245</v>
      </c>
      <c r="K426" t="s">
        <v>245</v>
      </c>
      <c r="L426">
        <v>65184</v>
      </c>
      <c r="M426" t="s">
        <v>41</v>
      </c>
      <c r="N426" t="s">
        <v>2481</v>
      </c>
      <c r="O426" t="s">
        <v>30</v>
      </c>
      <c r="P426" t="s">
        <v>31</v>
      </c>
      <c r="Q426" t="s">
        <v>2482</v>
      </c>
      <c r="R426" t="s">
        <v>2483</v>
      </c>
      <c r="S426">
        <v>4</v>
      </c>
      <c r="T426" s="2">
        <v>0.2</v>
      </c>
      <c r="U426" t="s">
        <v>2484</v>
      </c>
    </row>
    <row r="427" spans="1:21">
      <c r="A427">
        <v>435</v>
      </c>
      <c r="B427" t="s">
        <v>2485</v>
      </c>
      <c r="C427" s="1">
        <v>45359</v>
      </c>
      <c r="D427" s="1">
        <v>45362</v>
      </c>
      <c r="E427" t="s">
        <v>36</v>
      </c>
      <c r="F427" t="s">
        <v>2486</v>
      </c>
      <c r="G427" t="s">
        <v>418</v>
      </c>
      <c r="H427" t="s">
        <v>25</v>
      </c>
      <c r="I427" t="s">
        <v>26</v>
      </c>
      <c r="J427" t="s">
        <v>212</v>
      </c>
      <c r="K427" t="s">
        <v>212</v>
      </c>
      <c r="L427">
        <v>66866</v>
      </c>
      <c r="M427" t="s">
        <v>28</v>
      </c>
      <c r="N427" t="s">
        <v>2487</v>
      </c>
      <c r="O427" t="s">
        <v>30</v>
      </c>
      <c r="P427" t="s">
        <v>31</v>
      </c>
      <c r="Q427" t="s">
        <v>386</v>
      </c>
      <c r="R427" t="s">
        <v>2488</v>
      </c>
      <c r="S427">
        <v>1</v>
      </c>
      <c r="T427" s="2">
        <v>0.05</v>
      </c>
      <c r="U427" t="s">
        <v>2489</v>
      </c>
    </row>
    <row r="428" spans="1:21">
      <c r="A428">
        <v>220</v>
      </c>
      <c r="B428" t="s">
        <v>2490</v>
      </c>
      <c r="C428" s="1">
        <v>45360</v>
      </c>
      <c r="D428" s="1">
        <v>45364</v>
      </c>
      <c r="E428" t="s">
        <v>36</v>
      </c>
      <c r="F428" t="s">
        <v>2491</v>
      </c>
      <c r="G428" t="s">
        <v>2029</v>
      </c>
      <c r="H428" t="s">
        <v>25</v>
      </c>
      <c r="I428" t="s">
        <v>26</v>
      </c>
      <c r="J428" t="s">
        <v>150</v>
      </c>
      <c r="K428" t="s">
        <v>150</v>
      </c>
      <c r="L428">
        <v>42933</v>
      </c>
      <c r="M428" t="s">
        <v>73</v>
      </c>
      <c r="N428" t="s">
        <v>2492</v>
      </c>
      <c r="O428" t="s">
        <v>64</v>
      </c>
      <c r="P428" t="s">
        <v>65</v>
      </c>
      <c r="Q428" t="s">
        <v>2493</v>
      </c>
      <c r="R428" t="s">
        <v>2494</v>
      </c>
      <c r="S428">
        <v>3</v>
      </c>
      <c r="T428" s="2">
        <v>0</v>
      </c>
      <c r="U428" t="s">
        <v>2495</v>
      </c>
    </row>
    <row r="429" spans="1:21">
      <c r="A429">
        <v>94</v>
      </c>
      <c r="B429" t="s">
        <v>2496</v>
      </c>
      <c r="C429" s="1">
        <v>45362</v>
      </c>
      <c r="D429" s="1">
        <v>45365</v>
      </c>
      <c r="E429" t="s">
        <v>36</v>
      </c>
      <c r="F429" t="s">
        <v>2497</v>
      </c>
      <c r="G429" t="s">
        <v>525</v>
      </c>
      <c r="H429" t="s">
        <v>39</v>
      </c>
      <c r="I429" t="s">
        <v>26</v>
      </c>
      <c r="J429" t="s">
        <v>40</v>
      </c>
      <c r="K429" t="s">
        <v>40</v>
      </c>
      <c r="L429">
        <v>95150</v>
      </c>
      <c r="M429" t="s">
        <v>41</v>
      </c>
      <c r="N429" t="s">
        <v>2498</v>
      </c>
      <c r="O429" t="s">
        <v>43</v>
      </c>
      <c r="P429" t="s">
        <v>44</v>
      </c>
      <c r="Q429" t="s">
        <v>2499</v>
      </c>
      <c r="R429" t="s">
        <v>2500</v>
      </c>
      <c r="S429">
        <v>1</v>
      </c>
      <c r="T429" s="2">
        <v>0.1</v>
      </c>
      <c r="U429" t="s">
        <v>2501</v>
      </c>
    </row>
    <row r="430" spans="1:21">
      <c r="A430">
        <v>23</v>
      </c>
      <c r="B430" t="s">
        <v>2502</v>
      </c>
      <c r="C430" s="1">
        <v>45363</v>
      </c>
      <c r="D430" s="1">
        <v>45365</v>
      </c>
      <c r="E430" t="s">
        <v>36</v>
      </c>
      <c r="F430" t="s">
        <v>2503</v>
      </c>
      <c r="G430" t="s">
        <v>1744</v>
      </c>
      <c r="H430" t="s">
        <v>25</v>
      </c>
      <c r="I430" t="s">
        <v>26</v>
      </c>
      <c r="J430" t="s">
        <v>363</v>
      </c>
      <c r="K430" t="s">
        <v>363</v>
      </c>
      <c r="L430">
        <v>82369</v>
      </c>
      <c r="M430" t="s">
        <v>62</v>
      </c>
      <c r="N430" t="s">
        <v>2462</v>
      </c>
      <c r="O430" t="s">
        <v>43</v>
      </c>
      <c r="P430" t="s">
        <v>128</v>
      </c>
      <c r="Q430" t="s">
        <v>2291</v>
      </c>
      <c r="R430" t="s">
        <v>2504</v>
      </c>
      <c r="S430">
        <v>7</v>
      </c>
      <c r="T430" s="2">
        <v>0.4</v>
      </c>
      <c r="U430" t="s">
        <v>1914</v>
      </c>
    </row>
    <row r="431" spans="1:21">
      <c r="A431">
        <v>198</v>
      </c>
      <c r="B431" t="s">
        <v>2505</v>
      </c>
      <c r="C431" s="1">
        <v>45363</v>
      </c>
      <c r="D431" s="1">
        <v>45367</v>
      </c>
      <c r="E431" t="s">
        <v>49</v>
      </c>
      <c r="F431" t="s">
        <v>2506</v>
      </c>
      <c r="G431" t="s">
        <v>2507</v>
      </c>
      <c r="H431" t="s">
        <v>25</v>
      </c>
      <c r="I431" t="s">
        <v>26</v>
      </c>
      <c r="J431" t="s">
        <v>61</v>
      </c>
      <c r="K431" t="s">
        <v>61</v>
      </c>
      <c r="L431">
        <v>94381</v>
      </c>
      <c r="M431" t="s">
        <v>62</v>
      </c>
      <c r="N431" t="s">
        <v>2508</v>
      </c>
      <c r="O431" t="s">
        <v>30</v>
      </c>
      <c r="P431" t="s">
        <v>197</v>
      </c>
      <c r="Q431" t="s">
        <v>2509</v>
      </c>
      <c r="R431" t="s">
        <v>2510</v>
      </c>
      <c r="S431">
        <v>3</v>
      </c>
      <c r="T431" s="2">
        <v>0.2</v>
      </c>
      <c r="U431" t="s">
        <v>2511</v>
      </c>
    </row>
    <row r="432" spans="1:21">
      <c r="A432">
        <v>258</v>
      </c>
      <c r="B432" t="s">
        <v>2512</v>
      </c>
      <c r="C432" s="1">
        <v>45365</v>
      </c>
      <c r="D432" s="1">
        <v>45368</v>
      </c>
      <c r="E432" t="s">
        <v>36</v>
      </c>
      <c r="F432" t="s">
        <v>2513</v>
      </c>
      <c r="G432" t="s">
        <v>648</v>
      </c>
      <c r="H432" t="s">
        <v>25</v>
      </c>
      <c r="I432" t="s">
        <v>26</v>
      </c>
      <c r="J432" t="s">
        <v>229</v>
      </c>
      <c r="K432" t="s">
        <v>229</v>
      </c>
      <c r="L432">
        <v>22748</v>
      </c>
      <c r="M432" t="s">
        <v>73</v>
      </c>
      <c r="N432" t="s">
        <v>2431</v>
      </c>
      <c r="O432" t="s">
        <v>43</v>
      </c>
      <c r="P432" t="s">
        <v>44</v>
      </c>
      <c r="Q432" t="s">
        <v>239</v>
      </c>
      <c r="R432" t="s">
        <v>2514</v>
      </c>
      <c r="S432">
        <v>4</v>
      </c>
      <c r="T432" s="2">
        <v>0.15</v>
      </c>
      <c r="U432" t="s">
        <v>2515</v>
      </c>
    </row>
    <row r="433" spans="1:21">
      <c r="A433">
        <v>68</v>
      </c>
      <c r="B433" t="s">
        <v>2516</v>
      </c>
      <c r="C433" s="1">
        <v>45366</v>
      </c>
      <c r="D433" s="1">
        <v>45369</v>
      </c>
      <c r="E433" t="s">
        <v>49</v>
      </c>
      <c r="F433" t="s">
        <v>2517</v>
      </c>
      <c r="G433" t="s">
        <v>244</v>
      </c>
      <c r="H433" t="s">
        <v>39</v>
      </c>
      <c r="I433" t="s">
        <v>26</v>
      </c>
      <c r="J433" t="s">
        <v>641</v>
      </c>
      <c r="K433" t="s">
        <v>641</v>
      </c>
      <c r="L433">
        <v>39430</v>
      </c>
      <c r="M433" t="s">
        <v>62</v>
      </c>
      <c r="N433" t="s">
        <v>2518</v>
      </c>
      <c r="O433" t="s">
        <v>43</v>
      </c>
      <c r="P433" t="s">
        <v>83</v>
      </c>
      <c r="Q433" t="s">
        <v>487</v>
      </c>
      <c r="R433" t="s">
        <v>2519</v>
      </c>
      <c r="S433">
        <v>5</v>
      </c>
      <c r="T433" s="2">
        <v>0.2</v>
      </c>
      <c r="U433" t="s">
        <v>2520</v>
      </c>
    </row>
    <row r="434" spans="1:21">
      <c r="A434">
        <v>225</v>
      </c>
      <c r="B434" t="s">
        <v>2521</v>
      </c>
      <c r="C434" s="1">
        <v>45366</v>
      </c>
      <c r="D434" s="1">
        <v>45370</v>
      </c>
      <c r="E434" t="s">
        <v>36</v>
      </c>
      <c r="F434" t="s">
        <v>2522</v>
      </c>
      <c r="G434" t="s">
        <v>844</v>
      </c>
      <c r="H434" t="s">
        <v>39</v>
      </c>
      <c r="I434" t="s">
        <v>26</v>
      </c>
      <c r="J434" t="s">
        <v>157</v>
      </c>
      <c r="K434" t="s">
        <v>157</v>
      </c>
      <c r="L434">
        <v>35517</v>
      </c>
      <c r="M434" t="s">
        <v>62</v>
      </c>
      <c r="N434" t="s">
        <v>1277</v>
      </c>
      <c r="O434" t="s">
        <v>64</v>
      </c>
      <c r="P434" t="s">
        <v>136</v>
      </c>
      <c r="Q434" t="s">
        <v>1189</v>
      </c>
      <c r="R434" t="s">
        <v>2523</v>
      </c>
      <c r="S434">
        <v>5</v>
      </c>
      <c r="T434" s="2">
        <v>0.15</v>
      </c>
      <c r="U434" t="s">
        <v>2524</v>
      </c>
    </row>
    <row r="435" spans="1:21">
      <c r="A435">
        <v>42</v>
      </c>
      <c r="B435" t="s">
        <v>2525</v>
      </c>
      <c r="C435" s="1">
        <v>45367</v>
      </c>
      <c r="D435" s="1">
        <v>45370</v>
      </c>
      <c r="E435" t="s">
        <v>36</v>
      </c>
      <c r="F435" t="s">
        <v>2526</v>
      </c>
      <c r="G435" t="s">
        <v>1076</v>
      </c>
      <c r="H435" t="s">
        <v>25</v>
      </c>
      <c r="I435" t="s">
        <v>26</v>
      </c>
      <c r="J435" t="s">
        <v>52</v>
      </c>
      <c r="K435" t="s">
        <v>52</v>
      </c>
      <c r="L435">
        <v>36734</v>
      </c>
      <c r="M435" t="s">
        <v>41</v>
      </c>
      <c r="N435" t="s">
        <v>2023</v>
      </c>
      <c r="O435" t="s">
        <v>30</v>
      </c>
      <c r="P435" t="s">
        <v>222</v>
      </c>
      <c r="Q435" t="s">
        <v>434</v>
      </c>
      <c r="R435" t="s">
        <v>2527</v>
      </c>
      <c r="S435">
        <v>6</v>
      </c>
      <c r="T435" s="2">
        <v>0.1</v>
      </c>
      <c r="U435" t="s">
        <v>1654</v>
      </c>
    </row>
    <row r="436" spans="1:21">
      <c r="A436">
        <v>553</v>
      </c>
      <c r="B436" t="s">
        <v>2528</v>
      </c>
      <c r="C436" s="1">
        <v>45374</v>
      </c>
      <c r="D436" s="1">
        <v>45377</v>
      </c>
      <c r="E436" t="s">
        <v>49</v>
      </c>
      <c r="F436" t="s">
        <v>2529</v>
      </c>
      <c r="G436" t="s">
        <v>1758</v>
      </c>
      <c r="H436" t="s">
        <v>39</v>
      </c>
      <c r="I436" t="s">
        <v>26</v>
      </c>
      <c r="J436" t="s">
        <v>229</v>
      </c>
      <c r="K436" t="s">
        <v>229</v>
      </c>
      <c r="L436">
        <v>96120</v>
      </c>
      <c r="M436" t="s">
        <v>73</v>
      </c>
      <c r="N436" t="s">
        <v>883</v>
      </c>
      <c r="O436" t="s">
        <v>30</v>
      </c>
      <c r="P436" t="s">
        <v>31</v>
      </c>
      <c r="Q436" t="s">
        <v>2530</v>
      </c>
      <c r="R436" t="s">
        <v>2531</v>
      </c>
      <c r="S436">
        <v>4</v>
      </c>
      <c r="T436" s="2">
        <v>0.15</v>
      </c>
      <c r="U436" t="s">
        <v>2532</v>
      </c>
    </row>
    <row r="437" spans="1:21">
      <c r="A437">
        <v>286</v>
      </c>
      <c r="B437" t="s">
        <v>2533</v>
      </c>
      <c r="C437" s="1">
        <v>45374</v>
      </c>
      <c r="D437" s="1">
        <v>45377</v>
      </c>
      <c r="E437" t="s">
        <v>36</v>
      </c>
      <c r="F437" t="s">
        <v>2534</v>
      </c>
      <c r="G437" t="s">
        <v>677</v>
      </c>
      <c r="H437" t="s">
        <v>25</v>
      </c>
      <c r="I437" t="s">
        <v>26</v>
      </c>
      <c r="J437" t="s">
        <v>260</v>
      </c>
      <c r="K437" t="s">
        <v>260</v>
      </c>
      <c r="L437">
        <v>16869</v>
      </c>
      <c r="M437" t="s">
        <v>41</v>
      </c>
      <c r="N437" t="s">
        <v>213</v>
      </c>
      <c r="O437" t="s">
        <v>64</v>
      </c>
      <c r="P437" t="s">
        <v>65</v>
      </c>
      <c r="Q437" t="s">
        <v>927</v>
      </c>
      <c r="R437" t="s">
        <v>2535</v>
      </c>
      <c r="S437">
        <v>6</v>
      </c>
      <c r="T437" s="2">
        <v>0.3</v>
      </c>
      <c r="U437" t="s">
        <v>2536</v>
      </c>
    </row>
    <row r="438" spans="1:21">
      <c r="A438">
        <v>399</v>
      </c>
      <c r="B438" t="s">
        <v>2537</v>
      </c>
      <c r="C438" s="1">
        <v>45379</v>
      </c>
      <c r="D438" s="1">
        <v>45383</v>
      </c>
      <c r="E438" t="s">
        <v>36</v>
      </c>
      <c r="F438" t="s">
        <v>2538</v>
      </c>
      <c r="G438" t="s">
        <v>1997</v>
      </c>
      <c r="H438" t="s">
        <v>25</v>
      </c>
      <c r="I438" t="s">
        <v>26</v>
      </c>
      <c r="J438" t="s">
        <v>72</v>
      </c>
      <c r="K438" t="s">
        <v>72</v>
      </c>
      <c r="L438">
        <v>12765</v>
      </c>
      <c r="M438" t="s">
        <v>73</v>
      </c>
      <c r="N438" t="s">
        <v>2539</v>
      </c>
      <c r="O438" t="s">
        <v>30</v>
      </c>
      <c r="P438" t="s">
        <v>197</v>
      </c>
      <c r="Q438" t="s">
        <v>1696</v>
      </c>
      <c r="R438" t="s">
        <v>2540</v>
      </c>
      <c r="S438">
        <v>2</v>
      </c>
      <c r="T438" s="2">
        <v>0.1</v>
      </c>
      <c r="U438" t="s">
        <v>2541</v>
      </c>
    </row>
    <row r="439" spans="1:21">
      <c r="A439">
        <v>168</v>
      </c>
      <c r="B439" t="s">
        <v>2542</v>
      </c>
      <c r="C439" s="1">
        <v>45379</v>
      </c>
      <c r="D439" s="1">
        <v>45382</v>
      </c>
      <c r="E439" t="s">
        <v>22</v>
      </c>
      <c r="F439" t="s">
        <v>2543</v>
      </c>
      <c r="G439" t="s">
        <v>587</v>
      </c>
      <c r="H439" t="s">
        <v>25</v>
      </c>
      <c r="I439" t="s">
        <v>26</v>
      </c>
      <c r="J439" t="s">
        <v>61</v>
      </c>
      <c r="K439" t="s">
        <v>61</v>
      </c>
      <c r="L439">
        <v>58695</v>
      </c>
      <c r="M439" t="s">
        <v>62</v>
      </c>
      <c r="N439" t="s">
        <v>2544</v>
      </c>
      <c r="O439" t="s">
        <v>30</v>
      </c>
      <c r="P439" t="s">
        <v>31</v>
      </c>
      <c r="Q439" t="s">
        <v>2545</v>
      </c>
      <c r="R439" t="s">
        <v>2546</v>
      </c>
      <c r="S439">
        <v>3</v>
      </c>
      <c r="T439" s="2">
        <v>0.15</v>
      </c>
      <c r="U439" t="s">
        <v>2547</v>
      </c>
    </row>
    <row r="440" spans="1:21">
      <c r="A440">
        <v>497</v>
      </c>
      <c r="B440" t="s">
        <v>2548</v>
      </c>
      <c r="C440" s="1">
        <v>45383</v>
      </c>
      <c r="D440" s="1">
        <v>45386</v>
      </c>
      <c r="E440" t="s">
        <v>36</v>
      </c>
      <c r="F440" t="s">
        <v>2549</v>
      </c>
      <c r="G440" t="s">
        <v>1259</v>
      </c>
      <c r="H440" t="s">
        <v>39</v>
      </c>
      <c r="I440" t="s">
        <v>26</v>
      </c>
      <c r="J440" t="s">
        <v>237</v>
      </c>
      <c r="K440" t="s">
        <v>237</v>
      </c>
      <c r="L440">
        <v>74182</v>
      </c>
      <c r="M440" t="s">
        <v>41</v>
      </c>
      <c r="N440" t="s">
        <v>2550</v>
      </c>
      <c r="O440" t="s">
        <v>64</v>
      </c>
      <c r="P440" t="s">
        <v>405</v>
      </c>
      <c r="Q440" t="s">
        <v>2551</v>
      </c>
      <c r="R440" t="s">
        <v>2552</v>
      </c>
      <c r="S440">
        <v>6</v>
      </c>
      <c r="T440" s="2">
        <v>0.15</v>
      </c>
      <c r="U440" t="s">
        <v>2553</v>
      </c>
    </row>
    <row r="441" spans="1:21">
      <c r="A441">
        <v>31</v>
      </c>
      <c r="B441" t="s">
        <v>2554</v>
      </c>
      <c r="C441" s="1">
        <v>45385</v>
      </c>
      <c r="D441" s="1">
        <v>45388</v>
      </c>
      <c r="E441" t="s">
        <v>36</v>
      </c>
      <c r="F441" t="s">
        <v>2555</v>
      </c>
      <c r="G441" t="s">
        <v>259</v>
      </c>
      <c r="H441" t="s">
        <v>60</v>
      </c>
      <c r="I441" t="s">
        <v>26</v>
      </c>
      <c r="J441" t="s">
        <v>150</v>
      </c>
      <c r="K441" t="s">
        <v>150</v>
      </c>
      <c r="L441">
        <v>48413</v>
      </c>
      <c r="M441" t="s">
        <v>73</v>
      </c>
      <c r="N441" t="s">
        <v>2556</v>
      </c>
      <c r="O441" t="s">
        <v>64</v>
      </c>
      <c r="P441" t="s">
        <v>105</v>
      </c>
      <c r="Q441" t="s">
        <v>2557</v>
      </c>
      <c r="R441" t="s">
        <v>2558</v>
      </c>
      <c r="S441">
        <v>5</v>
      </c>
      <c r="T441" s="2">
        <v>0.5</v>
      </c>
      <c r="U441" t="s">
        <v>2559</v>
      </c>
    </row>
    <row r="442" spans="1:21">
      <c r="A442">
        <v>305</v>
      </c>
      <c r="B442" t="s">
        <v>2560</v>
      </c>
      <c r="C442" s="1">
        <v>45393</v>
      </c>
      <c r="D442" s="1">
        <v>45395</v>
      </c>
      <c r="E442" t="s">
        <v>22</v>
      </c>
      <c r="F442" t="s">
        <v>2561</v>
      </c>
      <c r="G442" t="s">
        <v>851</v>
      </c>
      <c r="H442" t="s">
        <v>39</v>
      </c>
      <c r="I442" t="s">
        <v>26</v>
      </c>
      <c r="J442" t="s">
        <v>61</v>
      </c>
      <c r="K442" t="s">
        <v>61</v>
      </c>
      <c r="L442">
        <v>20400</v>
      </c>
      <c r="M442" t="s">
        <v>62</v>
      </c>
      <c r="N442" t="s">
        <v>2562</v>
      </c>
      <c r="O442" t="s">
        <v>30</v>
      </c>
      <c r="P442" t="s">
        <v>197</v>
      </c>
      <c r="Q442" t="s">
        <v>1872</v>
      </c>
      <c r="R442" t="s">
        <v>2563</v>
      </c>
      <c r="S442">
        <v>5</v>
      </c>
      <c r="T442" s="2">
        <v>0.1</v>
      </c>
      <c r="U442" t="s">
        <v>2564</v>
      </c>
    </row>
    <row r="443" spans="1:21">
      <c r="A443">
        <v>155</v>
      </c>
      <c r="B443" t="s">
        <v>2565</v>
      </c>
      <c r="C443" s="1">
        <v>45394</v>
      </c>
      <c r="D443" s="1">
        <v>45396</v>
      </c>
      <c r="E443" t="s">
        <v>382</v>
      </c>
      <c r="F443" t="s">
        <v>2566</v>
      </c>
      <c r="G443" t="s">
        <v>851</v>
      </c>
      <c r="H443" t="s">
        <v>25</v>
      </c>
      <c r="I443" t="s">
        <v>26</v>
      </c>
      <c r="J443" t="s">
        <v>72</v>
      </c>
      <c r="K443" t="s">
        <v>72</v>
      </c>
      <c r="L443">
        <v>63161</v>
      </c>
      <c r="M443" t="s">
        <v>73</v>
      </c>
      <c r="N443" t="s">
        <v>2567</v>
      </c>
      <c r="O443" t="s">
        <v>30</v>
      </c>
      <c r="P443" t="s">
        <v>31</v>
      </c>
      <c r="Q443" t="s">
        <v>2568</v>
      </c>
      <c r="R443" t="s">
        <v>2569</v>
      </c>
      <c r="S443">
        <v>4</v>
      </c>
      <c r="T443" s="2">
        <v>0</v>
      </c>
      <c r="U443" t="s">
        <v>2570</v>
      </c>
    </row>
    <row r="444" spans="1:21">
      <c r="A444">
        <v>330</v>
      </c>
      <c r="B444" t="s">
        <v>2571</v>
      </c>
      <c r="C444" s="1">
        <v>45394</v>
      </c>
      <c r="D444" s="1">
        <v>45396</v>
      </c>
      <c r="E444" t="s">
        <v>36</v>
      </c>
      <c r="F444" t="s">
        <v>2572</v>
      </c>
      <c r="G444" t="s">
        <v>882</v>
      </c>
      <c r="H444" t="s">
        <v>25</v>
      </c>
      <c r="I444" t="s">
        <v>26</v>
      </c>
      <c r="J444" t="s">
        <v>81</v>
      </c>
      <c r="K444" t="s">
        <v>81</v>
      </c>
      <c r="L444">
        <v>70289</v>
      </c>
      <c r="M444" t="s">
        <v>62</v>
      </c>
      <c r="N444" t="s">
        <v>465</v>
      </c>
      <c r="O444" t="s">
        <v>30</v>
      </c>
      <c r="P444" t="s">
        <v>120</v>
      </c>
      <c r="Q444" t="s">
        <v>2573</v>
      </c>
      <c r="R444" t="s">
        <v>2574</v>
      </c>
      <c r="S444">
        <v>5</v>
      </c>
      <c r="T444" s="2">
        <v>0.1</v>
      </c>
      <c r="U444" t="s">
        <v>2575</v>
      </c>
    </row>
    <row r="445" spans="1:21">
      <c r="A445">
        <v>154</v>
      </c>
      <c r="B445" t="s">
        <v>2576</v>
      </c>
      <c r="C445" s="1">
        <v>45394</v>
      </c>
      <c r="D445" s="1">
        <v>45397</v>
      </c>
      <c r="E445" t="s">
        <v>49</v>
      </c>
      <c r="F445" t="s">
        <v>1428</v>
      </c>
      <c r="G445" t="s">
        <v>1938</v>
      </c>
      <c r="H445" t="s">
        <v>39</v>
      </c>
      <c r="I445" t="s">
        <v>26</v>
      </c>
      <c r="J445" t="s">
        <v>96</v>
      </c>
      <c r="K445" t="s">
        <v>96</v>
      </c>
      <c r="L445">
        <v>10929</v>
      </c>
      <c r="M445" t="s">
        <v>28</v>
      </c>
      <c r="N445" t="s">
        <v>2577</v>
      </c>
      <c r="O445" t="s">
        <v>43</v>
      </c>
      <c r="P445" t="s">
        <v>128</v>
      </c>
      <c r="Q445" t="s">
        <v>2578</v>
      </c>
      <c r="R445" t="s">
        <v>2579</v>
      </c>
      <c r="S445">
        <v>3</v>
      </c>
      <c r="T445" s="2">
        <v>0.1</v>
      </c>
      <c r="U445" t="s">
        <v>2580</v>
      </c>
    </row>
    <row r="446" spans="1:21">
      <c r="A446">
        <v>436</v>
      </c>
      <c r="B446" t="s">
        <v>2581</v>
      </c>
      <c r="C446" s="1">
        <v>45394</v>
      </c>
      <c r="D446" s="1">
        <v>45399</v>
      </c>
      <c r="E446" t="s">
        <v>49</v>
      </c>
      <c r="F446" t="s">
        <v>2582</v>
      </c>
      <c r="G446" t="s">
        <v>1110</v>
      </c>
      <c r="H446" t="s">
        <v>60</v>
      </c>
      <c r="I446" t="s">
        <v>26</v>
      </c>
      <c r="J446" t="s">
        <v>229</v>
      </c>
      <c r="K446" t="s">
        <v>229</v>
      </c>
      <c r="L446">
        <v>61259</v>
      </c>
      <c r="M446" t="s">
        <v>73</v>
      </c>
      <c r="N446" t="s">
        <v>2583</v>
      </c>
      <c r="O446" t="s">
        <v>30</v>
      </c>
      <c r="P446" t="s">
        <v>222</v>
      </c>
      <c r="Q446" t="s">
        <v>934</v>
      </c>
      <c r="R446" t="s">
        <v>2584</v>
      </c>
      <c r="S446">
        <v>1</v>
      </c>
      <c r="T446" s="2">
        <v>0.15</v>
      </c>
      <c r="U446" t="s">
        <v>2585</v>
      </c>
    </row>
    <row r="447" spans="1:21">
      <c r="A447">
        <v>19</v>
      </c>
      <c r="B447" t="s">
        <v>2586</v>
      </c>
      <c r="C447" s="1">
        <v>45395</v>
      </c>
      <c r="D447" s="1">
        <v>45398</v>
      </c>
      <c r="E447" t="s">
        <v>382</v>
      </c>
      <c r="F447" t="s">
        <v>2587</v>
      </c>
      <c r="G447" t="s">
        <v>2122</v>
      </c>
      <c r="H447" t="s">
        <v>25</v>
      </c>
      <c r="I447" t="s">
        <v>26</v>
      </c>
      <c r="J447" t="s">
        <v>245</v>
      </c>
      <c r="K447" t="s">
        <v>245</v>
      </c>
      <c r="L447">
        <v>90135</v>
      </c>
      <c r="M447" t="s">
        <v>41</v>
      </c>
      <c r="N447" t="s">
        <v>2588</v>
      </c>
      <c r="O447" t="s">
        <v>30</v>
      </c>
      <c r="P447" t="s">
        <v>31</v>
      </c>
      <c r="Q447" t="s">
        <v>506</v>
      </c>
      <c r="R447" t="s">
        <v>2589</v>
      </c>
      <c r="S447">
        <v>1</v>
      </c>
      <c r="T447" s="2">
        <v>0</v>
      </c>
      <c r="U447" t="s">
        <v>2590</v>
      </c>
    </row>
    <row r="448" spans="1:21">
      <c r="A448">
        <v>291</v>
      </c>
      <c r="B448" t="s">
        <v>2591</v>
      </c>
      <c r="C448" s="1">
        <v>45395</v>
      </c>
      <c r="D448" s="1">
        <v>45401</v>
      </c>
      <c r="E448" t="s">
        <v>49</v>
      </c>
      <c r="F448" t="s">
        <v>2592</v>
      </c>
      <c r="G448" t="s">
        <v>187</v>
      </c>
      <c r="H448" t="s">
        <v>25</v>
      </c>
      <c r="I448" t="s">
        <v>26</v>
      </c>
      <c r="J448" t="s">
        <v>52</v>
      </c>
      <c r="K448" t="s">
        <v>52</v>
      </c>
      <c r="L448">
        <v>95473</v>
      </c>
      <c r="M448" t="s">
        <v>41</v>
      </c>
      <c r="N448" t="s">
        <v>2593</v>
      </c>
      <c r="O448" t="s">
        <v>43</v>
      </c>
      <c r="P448" t="s">
        <v>214</v>
      </c>
      <c r="Q448" t="s">
        <v>215</v>
      </c>
      <c r="R448" t="s">
        <v>2594</v>
      </c>
      <c r="S448">
        <v>1</v>
      </c>
      <c r="T448" s="2">
        <v>0.05</v>
      </c>
      <c r="U448" t="s">
        <v>2595</v>
      </c>
    </row>
    <row r="449" spans="1:21">
      <c r="A449">
        <v>127</v>
      </c>
      <c r="B449" t="s">
        <v>2596</v>
      </c>
      <c r="C449" s="1">
        <v>45398</v>
      </c>
      <c r="D449" s="1">
        <v>45400</v>
      </c>
      <c r="E449" t="s">
        <v>36</v>
      </c>
      <c r="F449" t="s">
        <v>2597</v>
      </c>
      <c r="G449" t="s">
        <v>554</v>
      </c>
      <c r="H449" t="s">
        <v>25</v>
      </c>
      <c r="I449" t="s">
        <v>26</v>
      </c>
      <c r="J449" t="s">
        <v>150</v>
      </c>
      <c r="K449" t="s">
        <v>150</v>
      </c>
      <c r="L449">
        <v>72812</v>
      </c>
      <c r="M449" t="s">
        <v>73</v>
      </c>
      <c r="N449" t="s">
        <v>2598</v>
      </c>
      <c r="O449" t="s">
        <v>64</v>
      </c>
      <c r="P449" t="s">
        <v>405</v>
      </c>
      <c r="Q449" t="s">
        <v>2599</v>
      </c>
      <c r="R449" t="s">
        <v>2600</v>
      </c>
      <c r="S449">
        <v>3</v>
      </c>
      <c r="T449" s="2">
        <v>0.05</v>
      </c>
      <c r="U449" t="s">
        <v>2601</v>
      </c>
    </row>
    <row r="450" spans="1:21">
      <c r="A450">
        <v>533</v>
      </c>
      <c r="B450" t="s">
        <v>2602</v>
      </c>
      <c r="C450" s="1">
        <v>45402</v>
      </c>
      <c r="D450" s="1">
        <v>45406</v>
      </c>
      <c r="E450" t="s">
        <v>36</v>
      </c>
      <c r="F450" t="s">
        <v>2603</v>
      </c>
      <c r="G450" t="s">
        <v>1123</v>
      </c>
      <c r="H450" t="s">
        <v>25</v>
      </c>
      <c r="I450" t="s">
        <v>26</v>
      </c>
      <c r="J450" t="s">
        <v>363</v>
      </c>
      <c r="K450" t="s">
        <v>363</v>
      </c>
      <c r="L450">
        <v>83228</v>
      </c>
      <c r="M450" t="s">
        <v>62</v>
      </c>
      <c r="N450" t="s">
        <v>1695</v>
      </c>
      <c r="O450" t="s">
        <v>43</v>
      </c>
      <c r="P450" t="s">
        <v>214</v>
      </c>
      <c r="Q450" t="s">
        <v>2437</v>
      </c>
      <c r="R450" t="s">
        <v>2604</v>
      </c>
      <c r="S450">
        <v>5</v>
      </c>
      <c r="T450" s="2">
        <v>0.15</v>
      </c>
      <c r="U450" t="s">
        <v>2605</v>
      </c>
    </row>
    <row r="451" spans="1:21">
      <c r="A451">
        <v>416</v>
      </c>
      <c r="B451" t="s">
        <v>2606</v>
      </c>
      <c r="C451" s="1">
        <v>45405</v>
      </c>
      <c r="D451" s="1">
        <v>45406</v>
      </c>
      <c r="E451" t="s">
        <v>382</v>
      </c>
      <c r="F451" t="s">
        <v>2607</v>
      </c>
      <c r="G451" t="s">
        <v>1012</v>
      </c>
      <c r="H451" t="s">
        <v>25</v>
      </c>
      <c r="I451" t="s">
        <v>26</v>
      </c>
      <c r="J451" t="s">
        <v>363</v>
      </c>
      <c r="K451" t="s">
        <v>363</v>
      </c>
      <c r="L451">
        <v>49601</v>
      </c>
      <c r="M451" t="s">
        <v>62</v>
      </c>
      <c r="N451" t="s">
        <v>2608</v>
      </c>
      <c r="O451" t="s">
        <v>43</v>
      </c>
      <c r="P451" t="s">
        <v>44</v>
      </c>
      <c r="Q451" t="s">
        <v>2499</v>
      </c>
      <c r="R451" t="s">
        <v>2609</v>
      </c>
      <c r="S451">
        <v>6</v>
      </c>
      <c r="T451" s="2">
        <v>0.2</v>
      </c>
      <c r="U451" t="s">
        <v>2610</v>
      </c>
    </row>
    <row r="452" spans="1:21">
      <c r="A452">
        <v>367</v>
      </c>
      <c r="B452" t="s">
        <v>2611</v>
      </c>
      <c r="C452" s="1">
        <v>45406</v>
      </c>
      <c r="D452" s="1">
        <v>45408</v>
      </c>
      <c r="E452" t="s">
        <v>22</v>
      </c>
      <c r="F452" t="s">
        <v>2612</v>
      </c>
      <c r="G452" t="s">
        <v>713</v>
      </c>
      <c r="H452" t="s">
        <v>25</v>
      </c>
      <c r="I452" t="s">
        <v>26</v>
      </c>
      <c r="J452" t="s">
        <v>260</v>
      </c>
      <c r="K452" t="s">
        <v>260</v>
      </c>
      <c r="L452">
        <v>60755</v>
      </c>
      <c r="M452" t="s">
        <v>41</v>
      </c>
      <c r="N452" t="s">
        <v>2201</v>
      </c>
      <c r="O452" t="s">
        <v>64</v>
      </c>
      <c r="P452" t="s">
        <v>105</v>
      </c>
      <c r="Q452" t="s">
        <v>2613</v>
      </c>
      <c r="R452" t="s">
        <v>2614</v>
      </c>
      <c r="S452">
        <v>6</v>
      </c>
      <c r="T452" s="2">
        <v>0.4</v>
      </c>
      <c r="U452" t="s">
        <v>2615</v>
      </c>
    </row>
    <row r="453" spans="1:21">
      <c r="A453">
        <v>195</v>
      </c>
      <c r="B453" t="s">
        <v>2616</v>
      </c>
      <c r="C453" s="1">
        <v>45407</v>
      </c>
      <c r="D453" s="1">
        <v>45410</v>
      </c>
      <c r="E453" t="s">
        <v>36</v>
      </c>
      <c r="F453" t="s">
        <v>2617</v>
      </c>
      <c r="G453" t="s">
        <v>1117</v>
      </c>
      <c r="H453" t="s">
        <v>25</v>
      </c>
      <c r="I453" t="s">
        <v>26</v>
      </c>
      <c r="J453" t="s">
        <v>212</v>
      </c>
      <c r="K453" t="s">
        <v>212</v>
      </c>
      <c r="L453">
        <v>91486</v>
      </c>
      <c r="M453" t="s">
        <v>28</v>
      </c>
      <c r="N453" t="s">
        <v>2618</v>
      </c>
      <c r="O453" t="s">
        <v>64</v>
      </c>
      <c r="P453" t="s">
        <v>136</v>
      </c>
      <c r="Q453" t="s">
        <v>2619</v>
      </c>
      <c r="R453" t="s">
        <v>2620</v>
      </c>
      <c r="S453">
        <v>6</v>
      </c>
      <c r="T453" s="2">
        <v>0.1</v>
      </c>
      <c r="U453" t="s">
        <v>2621</v>
      </c>
    </row>
    <row r="454" spans="1:21">
      <c r="A454">
        <v>596</v>
      </c>
      <c r="B454" t="s">
        <v>2622</v>
      </c>
      <c r="C454" s="1">
        <v>45407</v>
      </c>
      <c r="D454" s="1">
        <v>45411</v>
      </c>
      <c r="E454" t="s">
        <v>36</v>
      </c>
      <c r="F454" t="s">
        <v>2623</v>
      </c>
      <c r="G454" t="s">
        <v>1063</v>
      </c>
      <c r="H454" t="s">
        <v>39</v>
      </c>
      <c r="I454" t="s">
        <v>26</v>
      </c>
      <c r="J454" t="s">
        <v>150</v>
      </c>
      <c r="K454" t="s">
        <v>150</v>
      </c>
      <c r="L454">
        <v>65692</v>
      </c>
      <c r="M454" t="s">
        <v>73</v>
      </c>
      <c r="N454" t="s">
        <v>2624</v>
      </c>
      <c r="O454" t="s">
        <v>64</v>
      </c>
      <c r="P454" t="s">
        <v>105</v>
      </c>
      <c r="Q454" t="s">
        <v>2625</v>
      </c>
      <c r="R454" t="s">
        <v>2626</v>
      </c>
      <c r="S454">
        <v>5</v>
      </c>
      <c r="T454" s="2">
        <v>0.2</v>
      </c>
      <c r="U454" t="s">
        <v>2627</v>
      </c>
    </row>
    <row r="455" spans="1:21">
      <c r="A455">
        <v>597</v>
      </c>
      <c r="B455" t="s">
        <v>2628</v>
      </c>
      <c r="C455" s="1">
        <v>45408</v>
      </c>
      <c r="D455" s="1">
        <v>45412</v>
      </c>
      <c r="E455" t="s">
        <v>36</v>
      </c>
      <c r="F455" t="s">
        <v>2629</v>
      </c>
      <c r="G455" t="s">
        <v>118</v>
      </c>
      <c r="H455" t="s">
        <v>39</v>
      </c>
      <c r="I455" t="s">
        <v>26</v>
      </c>
      <c r="J455" t="s">
        <v>173</v>
      </c>
      <c r="K455" t="s">
        <v>173</v>
      </c>
      <c r="L455">
        <v>22569</v>
      </c>
      <c r="M455" t="s">
        <v>73</v>
      </c>
      <c r="N455" t="s">
        <v>2630</v>
      </c>
      <c r="O455" t="s">
        <v>64</v>
      </c>
      <c r="P455" t="s">
        <v>136</v>
      </c>
      <c r="Q455" t="s">
        <v>254</v>
      </c>
      <c r="R455" t="s">
        <v>2631</v>
      </c>
      <c r="S455">
        <v>7</v>
      </c>
      <c r="T455" s="2">
        <v>0.05</v>
      </c>
      <c r="U455" t="s">
        <v>2632</v>
      </c>
    </row>
    <row r="456" spans="1:21">
      <c r="A456">
        <v>231</v>
      </c>
      <c r="B456" t="s">
        <v>2633</v>
      </c>
      <c r="C456" s="1">
        <v>45410</v>
      </c>
      <c r="D456" s="1">
        <v>45414</v>
      </c>
      <c r="E456" t="s">
        <v>36</v>
      </c>
      <c r="F456" t="s">
        <v>2634</v>
      </c>
      <c r="G456" t="s">
        <v>952</v>
      </c>
      <c r="H456" t="s">
        <v>39</v>
      </c>
      <c r="I456" t="s">
        <v>26</v>
      </c>
      <c r="J456" t="s">
        <v>438</v>
      </c>
      <c r="K456" t="s">
        <v>438</v>
      </c>
      <c r="L456">
        <v>21151</v>
      </c>
      <c r="M456" t="s">
        <v>28</v>
      </c>
      <c r="N456" t="s">
        <v>2635</v>
      </c>
      <c r="O456" t="s">
        <v>43</v>
      </c>
      <c r="P456" t="s">
        <v>166</v>
      </c>
      <c r="Q456" t="s">
        <v>1847</v>
      </c>
      <c r="R456" t="s">
        <v>2636</v>
      </c>
      <c r="S456">
        <v>4</v>
      </c>
      <c r="T456" s="2">
        <v>0.2</v>
      </c>
      <c r="U456" t="s">
        <v>2637</v>
      </c>
    </row>
    <row r="457" spans="1:21">
      <c r="A457">
        <v>150</v>
      </c>
      <c r="B457" t="s">
        <v>2638</v>
      </c>
      <c r="C457" s="1">
        <v>45411</v>
      </c>
      <c r="D457" s="1">
        <v>45413</v>
      </c>
      <c r="E457" t="s">
        <v>36</v>
      </c>
      <c r="F457" t="s">
        <v>2639</v>
      </c>
      <c r="G457" t="s">
        <v>300</v>
      </c>
      <c r="H457" t="s">
        <v>25</v>
      </c>
      <c r="I457" t="s">
        <v>26</v>
      </c>
      <c r="J457" t="s">
        <v>27</v>
      </c>
      <c r="K457" t="s">
        <v>27</v>
      </c>
      <c r="L457">
        <v>96120</v>
      </c>
      <c r="M457" t="s">
        <v>28</v>
      </c>
      <c r="N457" t="s">
        <v>2640</v>
      </c>
      <c r="O457" t="s">
        <v>43</v>
      </c>
      <c r="P457" t="s">
        <v>83</v>
      </c>
      <c r="Q457" t="s">
        <v>1658</v>
      </c>
      <c r="R457" t="s">
        <v>2641</v>
      </c>
      <c r="S457">
        <v>1</v>
      </c>
      <c r="T457" s="2">
        <v>0</v>
      </c>
      <c r="U457" t="s">
        <v>2642</v>
      </c>
    </row>
    <row r="458" spans="1:21">
      <c r="A458">
        <v>325</v>
      </c>
      <c r="B458" t="s">
        <v>2643</v>
      </c>
      <c r="C458" s="1">
        <v>45411</v>
      </c>
      <c r="D458" s="1">
        <v>45415</v>
      </c>
      <c r="E458" t="s">
        <v>36</v>
      </c>
      <c r="F458" t="s">
        <v>2644</v>
      </c>
      <c r="G458" t="s">
        <v>445</v>
      </c>
      <c r="H458" t="s">
        <v>39</v>
      </c>
      <c r="I458" t="s">
        <v>26</v>
      </c>
      <c r="J458" t="s">
        <v>157</v>
      </c>
      <c r="K458" t="s">
        <v>157</v>
      </c>
      <c r="L458">
        <v>76275</v>
      </c>
      <c r="M458" t="s">
        <v>62</v>
      </c>
      <c r="N458" t="s">
        <v>2645</v>
      </c>
      <c r="O458" t="s">
        <v>30</v>
      </c>
      <c r="P458" t="s">
        <v>197</v>
      </c>
      <c r="Q458" t="s">
        <v>2052</v>
      </c>
      <c r="R458" t="s">
        <v>2646</v>
      </c>
      <c r="S458">
        <v>1</v>
      </c>
      <c r="T458" s="2">
        <v>0.2</v>
      </c>
      <c r="U458" t="s">
        <v>2647</v>
      </c>
    </row>
    <row r="459" spans="1:21">
      <c r="A459">
        <v>60</v>
      </c>
      <c r="B459" t="s">
        <v>2648</v>
      </c>
      <c r="C459" s="1">
        <v>45415</v>
      </c>
      <c r="D459" s="1">
        <v>45419</v>
      </c>
      <c r="E459" t="s">
        <v>36</v>
      </c>
      <c r="F459" t="s">
        <v>2649</v>
      </c>
      <c r="G459" t="s">
        <v>211</v>
      </c>
      <c r="H459" t="s">
        <v>60</v>
      </c>
      <c r="I459" t="s">
        <v>26</v>
      </c>
      <c r="J459" t="s">
        <v>173</v>
      </c>
      <c r="K459" t="s">
        <v>173</v>
      </c>
      <c r="L459">
        <v>61693</v>
      </c>
      <c r="M459" t="s">
        <v>73</v>
      </c>
      <c r="N459" t="s">
        <v>398</v>
      </c>
      <c r="O459" t="s">
        <v>64</v>
      </c>
      <c r="P459" t="s">
        <v>105</v>
      </c>
      <c r="Q459" t="s">
        <v>269</v>
      </c>
      <c r="R459" t="s">
        <v>2650</v>
      </c>
      <c r="S459">
        <v>2</v>
      </c>
      <c r="T459" s="2">
        <v>0.2</v>
      </c>
      <c r="U459" t="s">
        <v>2651</v>
      </c>
    </row>
    <row r="460" spans="1:21">
      <c r="A460">
        <v>348</v>
      </c>
      <c r="B460" t="s">
        <v>2652</v>
      </c>
      <c r="C460" s="1">
        <v>45415</v>
      </c>
      <c r="D460" s="1">
        <v>45418</v>
      </c>
      <c r="E460" t="s">
        <v>36</v>
      </c>
      <c r="F460" t="s">
        <v>2653</v>
      </c>
      <c r="G460" t="s">
        <v>126</v>
      </c>
      <c r="H460" t="s">
        <v>60</v>
      </c>
      <c r="I460" t="s">
        <v>26</v>
      </c>
      <c r="J460" t="s">
        <v>363</v>
      </c>
      <c r="K460" t="s">
        <v>363</v>
      </c>
      <c r="L460">
        <v>41213</v>
      </c>
      <c r="M460" t="s">
        <v>62</v>
      </c>
      <c r="N460" t="s">
        <v>2654</v>
      </c>
      <c r="O460" t="s">
        <v>30</v>
      </c>
      <c r="P460" t="s">
        <v>120</v>
      </c>
      <c r="Q460" t="s">
        <v>2117</v>
      </c>
      <c r="R460" t="s">
        <v>2655</v>
      </c>
      <c r="S460">
        <v>6</v>
      </c>
      <c r="T460" s="2">
        <v>0.4</v>
      </c>
      <c r="U460" t="s">
        <v>2656</v>
      </c>
    </row>
    <row r="461" spans="1:21">
      <c r="A461">
        <v>515</v>
      </c>
      <c r="B461" t="s">
        <v>2657</v>
      </c>
      <c r="C461" s="1">
        <v>45416</v>
      </c>
      <c r="D461" s="1">
        <v>45421</v>
      </c>
      <c r="E461" t="s">
        <v>36</v>
      </c>
      <c r="F461" t="s">
        <v>2658</v>
      </c>
      <c r="G461" t="s">
        <v>626</v>
      </c>
      <c r="H461" t="s">
        <v>39</v>
      </c>
      <c r="I461" t="s">
        <v>26</v>
      </c>
      <c r="J461" t="s">
        <v>204</v>
      </c>
      <c r="K461" t="s">
        <v>204</v>
      </c>
      <c r="L461">
        <v>43690</v>
      </c>
      <c r="M461" t="s">
        <v>28</v>
      </c>
      <c r="N461" t="s">
        <v>2659</v>
      </c>
      <c r="O461" t="s">
        <v>64</v>
      </c>
      <c r="P461" t="s">
        <v>136</v>
      </c>
      <c r="Q461" t="s">
        <v>2660</v>
      </c>
      <c r="R461" t="s">
        <v>2661</v>
      </c>
      <c r="S461">
        <v>4</v>
      </c>
      <c r="T461" s="2">
        <v>0.05</v>
      </c>
      <c r="U461" t="s">
        <v>2662</v>
      </c>
    </row>
    <row r="462" spans="1:21">
      <c r="A462">
        <v>101</v>
      </c>
      <c r="B462" t="s">
        <v>2663</v>
      </c>
      <c r="C462" s="1">
        <v>45418</v>
      </c>
      <c r="D462" s="1">
        <v>45420</v>
      </c>
      <c r="E462" t="s">
        <v>36</v>
      </c>
      <c r="F462" t="s">
        <v>2664</v>
      </c>
      <c r="G462" t="s">
        <v>142</v>
      </c>
      <c r="H462" t="s">
        <v>39</v>
      </c>
      <c r="I462" t="s">
        <v>26</v>
      </c>
      <c r="J462" t="s">
        <v>96</v>
      </c>
      <c r="K462" t="s">
        <v>96</v>
      </c>
      <c r="L462">
        <v>67993</v>
      </c>
      <c r="M462" t="s">
        <v>28</v>
      </c>
      <c r="N462" t="s">
        <v>2665</v>
      </c>
      <c r="O462" t="s">
        <v>30</v>
      </c>
      <c r="P462" t="s">
        <v>222</v>
      </c>
      <c r="Q462" t="s">
        <v>1183</v>
      </c>
      <c r="R462" t="s">
        <v>2666</v>
      </c>
      <c r="S462">
        <v>6</v>
      </c>
      <c r="T462" s="2">
        <v>0</v>
      </c>
      <c r="U462" t="s">
        <v>2667</v>
      </c>
    </row>
    <row r="463" spans="1:21">
      <c r="A463">
        <v>251</v>
      </c>
      <c r="B463" t="s">
        <v>2668</v>
      </c>
      <c r="C463" s="1">
        <v>45419</v>
      </c>
      <c r="D463" s="1">
        <v>45421</v>
      </c>
      <c r="E463" t="s">
        <v>36</v>
      </c>
      <c r="F463" t="s">
        <v>2669</v>
      </c>
      <c r="G463" t="s">
        <v>1503</v>
      </c>
      <c r="H463" t="s">
        <v>25</v>
      </c>
      <c r="I463" t="s">
        <v>26</v>
      </c>
      <c r="J463" t="s">
        <v>72</v>
      </c>
      <c r="K463" t="s">
        <v>72</v>
      </c>
      <c r="L463">
        <v>85209</v>
      </c>
      <c r="M463" t="s">
        <v>73</v>
      </c>
      <c r="N463" t="s">
        <v>2670</v>
      </c>
      <c r="O463" t="s">
        <v>43</v>
      </c>
      <c r="P463" t="s">
        <v>166</v>
      </c>
      <c r="Q463" t="s">
        <v>2671</v>
      </c>
      <c r="R463" t="s">
        <v>2672</v>
      </c>
      <c r="S463">
        <v>7</v>
      </c>
      <c r="T463" s="2">
        <v>0.05</v>
      </c>
      <c r="U463" t="s">
        <v>2673</v>
      </c>
    </row>
    <row r="464" spans="1:21">
      <c r="A464">
        <v>428</v>
      </c>
      <c r="B464" t="s">
        <v>2674</v>
      </c>
      <c r="C464" s="1">
        <v>45419</v>
      </c>
      <c r="D464" s="1">
        <v>45421</v>
      </c>
      <c r="E464" t="s">
        <v>49</v>
      </c>
      <c r="F464" t="s">
        <v>2675</v>
      </c>
      <c r="G464" t="s">
        <v>432</v>
      </c>
      <c r="H464" t="s">
        <v>39</v>
      </c>
      <c r="I464" t="s">
        <v>26</v>
      </c>
      <c r="J464" t="s">
        <v>438</v>
      </c>
      <c r="K464" t="s">
        <v>438</v>
      </c>
      <c r="L464">
        <v>15574</v>
      </c>
      <c r="M464" t="s">
        <v>28</v>
      </c>
      <c r="N464" t="s">
        <v>2676</v>
      </c>
      <c r="O464" t="s">
        <v>30</v>
      </c>
      <c r="P464" t="s">
        <v>31</v>
      </c>
      <c r="Q464" t="s">
        <v>739</v>
      </c>
      <c r="R464" t="s">
        <v>2677</v>
      </c>
      <c r="S464">
        <v>4</v>
      </c>
      <c r="T464" s="2">
        <v>0.1</v>
      </c>
      <c r="U464" t="s">
        <v>515</v>
      </c>
    </row>
    <row r="465" spans="1:21">
      <c r="A465">
        <v>337</v>
      </c>
      <c r="B465" t="s">
        <v>2678</v>
      </c>
      <c r="C465" s="1">
        <v>45420</v>
      </c>
      <c r="D465" s="1">
        <v>45425</v>
      </c>
      <c r="E465" t="s">
        <v>36</v>
      </c>
      <c r="F465" t="s">
        <v>2679</v>
      </c>
      <c r="G465" t="s">
        <v>187</v>
      </c>
      <c r="H465" t="s">
        <v>25</v>
      </c>
      <c r="I465" t="s">
        <v>26</v>
      </c>
      <c r="J465" t="s">
        <v>641</v>
      </c>
      <c r="K465" t="s">
        <v>641</v>
      </c>
      <c r="L465">
        <v>51950</v>
      </c>
      <c r="M465" t="s">
        <v>62</v>
      </c>
      <c r="N465" t="s">
        <v>2680</v>
      </c>
      <c r="O465" t="s">
        <v>64</v>
      </c>
      <c r="P465" t="s">
        <v>405</v>
      </c>
      <c r="Q465" t="s">
        <v>2681</v>
      </c>
      <c r="R465" t="s">
        <v>2682</v>
      </c>
      <c r="S465">
        <v>1</v>
      </c>
      <c r="T465" s="2">
        <v>0.15</v>
      </c>
      <c r="U465" t="s">
        <v>1988</v>
      </c>
    </row>
    <row r="466" spans="1:21">
      <c r="A466">
        <v>462</v>
      </c>
      <c r="B466" t="s">
        <v>2683</v>
      </c>
      <c r="C466" s="1">
        <v>45421</v>
      </c>
      <c r="D466" s="1">
        <v>45423</v>
      </c>
      <c r="E466" t="s">
        <v>49</v>
      </c>
      <c r="F466" t="s">
        <v>2684</v>
      </c>
      <c r="G466" t="s">
        <v>1850</v>
      </c>
      <c r="H466" t="s">
        <v>25</v>
      </c>
      <c r="I466" t="s">
        <v>26</v>
      </c>
      <c r="J466" t="s">
        <v>229</v>
      </c>
      <c r="K466" t="s">
        <v>229</v>
      </c>
      <c r="L466">
        <v>74555</v>
      </c>
      <c r="M466" t="s">
        <v>73</v>
      </c>
      <c r="N466" t="s">
        <v>2685</v>
      </c>
      <c r="O466" t="s">
        <v>43</v>
      </c>
      <c r="P466" t="s">
        <v>83</v>
      </c>
      <c r="Q466" t="s">
        <v>1065</v>
      </c>
      <c r="R466" t="s">
        <v>2686</v>
      </c>
      <c r="S466">
        <v>2</v>
      </c>
      <c r="T466" s="2">
        <v>0.05</v>
      </c>
      <c r="U466" t="s">
        <v>2687</v>
      </c>
    </row>
    <row r="467" spans="1:21">
      <c r="A467">
        <v>1</v>
      </c>
      <c r="B467" t="s">
        <v>2688</v>
      </c>
      <c r="C467" s="1">
        <v>45422</v>
      </c>
      <c r="D467" s="1">
        <v>45424</v>
      </c>
      <c r="E467" t="s">
        <v>36</v>
      </c>
      <c r="F467" t="s">
        <v>2689</v>
      </c>
      <c r="G467" t="s">
        <v>511</v>
      </c>
      <c r="H467" t="s">
        <v>25</v>
      </c>
      <c r="I467" t="s">
        <v>26</v>
      </c>
      <c r="J467" t="s">
        <v>212</v>
      </c>
      <c r="K467" t="s">
        <v>212</v>
      </c>
      <c r="L467">
        <v>15311</v>
      </c>
      <c r="M467" t="s">
        <v>28</v>
      </c>
      <c r="N467" t="s">
        <v>2690</v>
      </c>
      <c r="O467" t="s">
        <v>43</v>
      </c>
      <c r="P467" t="s">
        <v>128</v>
      </c>
      <c r="Q467" t="s">
        <v>2691</v>
      </c>
      <c r="R467" t="s">
        <v>2692</v>
      </c>
      <c r="S467">
        <v>2</v>
      </c>
      <c r="T467" s="2">
        <v>0.2</v>
      </c>
      <c r="U467" t="s">
        <v>2693</v>
      </c>
    </row>
    <row r="468" spans="1:21">
      <c r="A468">
        <v>192</v>
      </c>
      <c r="B468" t="s">
        <v>2694</v>
      </c>
      <c r="C468" s="1">
        <v>45425</v>
      </c>
      <c r="D468" s="1">
        <v>45429</v>
      </c>
      <c r="E468" t="s">
        <v>36</v>
      </c>
      <c r="F468" t="s">
        <v>2695</v>
      </c>
      <c r="G468" t="s">
        <v>794</v>
      </c>
      <c r="H468" t="s">
        <v>60</v>
      </c>
      <c r="I468" t="s">
        <v>26</v>
      </c>
      <c r="J468" t="s">
        <v>81</v>
      </c>
      <c r="K468" t="s">
        <v>81</v>
      </c>
      <c r="L468">
        <v>66184</v>
      </c>
      <c r="M468" t="s">
        <v>62</v>
      </c>
      <c r="N468" t="s">
        <v>2696</v>
      </c>
      <c r="O468" t="s">
        <v>30</v>
      </c>
      <c r="P468" t="s">
        <v>222</v>
      </c>
      <c r="Q468" t="s">
        <v>818</v>
      </c>
      <c r="R468" t="s">
        <v>2697</v>
      </c>
      <c r="S468">
        <v>2</v>
      </c>
      <c r="T468" s="2">
        <v>0.15</v>
      </c>
      <c r="U468" t="s">
        <v>2698</v>
      </c>
    </row>
    <row r="469" spans="1:21">
      <c r="A469">
        <v>7</v>
      </c>
      <c r="B469" t="s">
        <v>2699</v>
      </c>
      <c r="C469" s="1">
        <v>45425</v>
      </c>
      <c r="D469" s="1">
        <v>45429</v>
      </c>
      <c r="E469" t="s">
        <v>36</v>
      </c>
      <c r="F469" t="s">
        <v>2700</v>
      </c>
      <c r="G469" t="s">
        <v>707</v>
      </c>
      <c r="H469" t="s">
        <v>60</v>
      </c>
      <c r="I469" t="s">
        <v>26</v>
      </c>
      <c r="J469" t="s">
        <v>212</v>
      </c>
      <c r="K469" t="s">
        <v>212</v>
      </c>
      <c r="L469">
        <v>53585</v>
      </c>
      <c r="M469" t="s">
        <v>28</v>
      </c>
      <c r="N469" t="s">
        <v>2701</v>
      </c>
      <c r="O469" t="s">
        <v>43</v>
      </c>
      <c r="P469" t="s">
        <v>83</v>
      </c>
      <c r="Q469" t="s">
        <v>487</v>
      </c>
      <c r="R469" t="s">
        <v>2702</v>
      </c>
      <c r="S469">
        <v>5</v>
      </c>
      <c r="T469" s="2">
        <v>0.05</v>
      </c>
      <c r="U469" t="s">
        <v>2703</v>
      </c>
    </row>
    <row r="470" spans="1:21">
      <c r="A470">
        <v>12</v>
      </c>
      <c r="B470" t="s">
        <v>2704</v>
      </c>
      <c r="C470" s="1">
        <v>45425</v>
      </c>
      <c r="D470" s="1">
        <v>45427</v>
      </c>
      <c r="E470" t="s">
        <v>49</v>
      </c>
      <c r="F470" t="s">
        <v>2705</v>
      </c>
      <c r="G470" t="s">
        <v>1446</v>
      </c>
      <c r="H470" t="s">
        <v>60</v>
      </c>
      <c r="I470" t="s">
        <v>26</v>
      </c>
      <c r="J470" t="s">
        <v>173</v>
      </c>
      <c r="K470" t="s">
        <v>173</v>
      </c>
      <c r="L470">
        <v>26371</v>
      </c>
      <c r="M470" t="s">
        <v>73</v>
      </c>
      <c r="N470" t="s">
        <v>2706</v>
      </c>
      <c r="O470" t="s">
        <v>43</v>
      </c>
      <c r="P470" t="s">
        <v>128</v>
      </c>
      <c r="Q470" t="s">
        <v>2707</v>
      </c>
      <c r="R470" t="s">
        <v>2708</v>
      </c>
      <c r="S470">
        <v>7</v>
      </c>
      <c r="T470" s="2">
        <v>0.15</v>
      </c>
      <c r="U470" t="s">
        <v>1493</v>
      </c>
    </row>
    <row r="471" spans="1:21">
      <c r="A471">
        <v>579</v>
      </c>
      <c r="B471" t="s">
        <v>2709</v>
      </c>
      <c r="C471" s="1">
        <v>45426</v>
      </c>
      <c r="D471" s="1">
        <v>45429</v>
      </c>
      <c r="E471" t="s">
        <v>36</v>
      </c>
      <c r="F471" t="s">
        <v>2710</v>
      </c>
      <c r="G471" t="s">
        <v>719</v>
      </c>
      <c r="H471" t="s">
        <v>39</v>
      </c>
      <c r="I471" t="s">
        <v>26</v>
      </c>
      <c r="J471" t="s">
        <v>40</v>
      </c>
      <c r="K471" t="s">
        <v>40</v>
      </c>
      <c r="L471">
        <v>83839</v>
      </c>
      <c r="M471" t="s">
        <v>41</v>
      </c>
      <c r="N471" t="s">
        <v>2711</v>
      </c>
      <c r="O471" t="s">
        <v>43</v>
      </c>
      <c r="P471" t="s">
        <v>166</v>
      </c>
      <c r="Q471" t="s">
        <v>1847</v>
      </c>
      <c r="R471" t="s">
        <v>2712</v>
      </c>
      <c r="S471">
        <v>2</v>
      </c>
      <c r="T471" s="2">
        <v>0.3</v>
      </c>
      <c r="U471" t="s">
        <v>2713</v>
      </c>
    </row>
    <row r="472" spans="1:21">
      <c r="A472">
        <v>65</v>
      </c>
      <c r="B472" t="s">
        <v>2714</v>
      </c>
      <c r="C472" s="1">
        <v>45427</v>
      </c>
      <c r="D472" s="1">
        <v>45429</v>
      </c>
      <c r="E472" t="s">
        <v>49</v>
      </c>
      <c r="F472" t="s">
        <v>2715</v>
      </c>
      <c r="G472" t="s">
        <v>633</v>
      </c>
      <c r="H472" t="s">
        <v>60</v>
      </c>
      <c r="I472" t="s">
        <v>26</v>
      </c>
      <c r="J472" t="s">
        <v>173</v>
      </c>
      <c r="K472" t="s">
        <v>173</v>
      </c>
      <c r="L472">
        <v>11750</v>
      </c>
      <c r="M472" t="s">
        <v>73</v>
      </c>
      <c r="N472" t="s">
        <v>2567</v>
      </c>
      <c r="O472" t="s">
        <v>30</v>
      </c>
      <c r="P472" t="s">
        <v>222</v>
      </c>
      <c r="Q472" t="s">
        <v>2716</v>
      </c>
      <c r="R472" t="s">
        <v>2717</v>
      </c>
      <c r="S472">
        <v>3</v>
      </c>
      <c r="T472" s="2">
        <v>0.2</v>
      </c>
      <c r="U472" t="s">
        <v>2515</v>
      </c>
    </row>
    <row r="473" spans="1:21">
      <c r="A473">
        <v>404</v>
      </c>
      <c r="B473" t="s">
        <v>2718</v>
      </c>
      <c r="C473" s="1">
        <v>45433</v>
      </c>
      <c r="D473" s="1">
        <v>45438</v>
      </c>
      <c r="E473" t="s">
        <v>49</v>
      </c>
      <c r="F473" t="s">
        <v>2719</v>
      </c>
      <c r="G473" t="s">
        <v>677</v>
      </c>
      <c r="H473" t="s">
        <v>25</v>
      </c>
      <c r="I473" t="s">
        <v>26</v>
      </c>
      <c r="J473" t="s">
        <v>52</v>
      </c>
      <c r="K473" t="s">
        <v>52</v>
      </c>
      <c r="L473">
        <v>68703</v>
      </c>
      <c r="M473" t="s">
        <v>41</v>
      </c>
      <c r="N473" t="s">
        <v>1877</v>
      </c>
      <c r="O473" t="s">
        <v>43</v>
      </c>
      <c r="P473" t="s">
        <v>189</v>
      </c>
      <c r="Q473" t="s">
        <v>190</v>
      </c>
      <c r="R473" t="s">
        <v>2720</v>
      </c>
      <c r="S473">
        <v>2</v>
      </c>
      <c r="T473" s="2">
        <v>0</v>
      </c>
      <c r="U473" t="s">
        <v>2721</v>
      </c>
    </row>
    <row r="474" spans="1:21">
      <c r="A474">
        <v>504</v>
      </c>
      <c r="B474" t="s">
        <v>2722</v>
      </c>
      <c r="C474" s="1">
        <v>45435</v>
      </c>
      <c r="D474" s="1">
        <v>45438</v>
      </c>
      <c r="E474" t="s">
        <v>36</v>
      </c>
      <c r="F474" t="s">
        <v>2723</v>
      </c>
      <c r="G474" t="s">
        <v>594</v>
      </c>
      <c r="H474" t="s">
        <v>25</v>
      </c>
      <c r="I474" t="s">
        <v>26</v>
      </c>
      <c r="J474" t="s">
        <v>40</v>
      </c>
      <c r="K474" t="s">
        <v>40</v>
      </c>
      <c r="L474">
        <v>86095</v>
      </c>
      <c r="M474" t="s">
        <v>41</v>
      </c>
      <c r="N474" t="s">
        <v>627</v>
      </c>
      <c r="O474" t="s">
        <v>64</v>
      </c>
      <c r="P474" t="s">
        <v>405</v>
      </c>
      <c r="Q474" t="s">
        <v>2382</v>
      </c>
      <c r="R474" t="s">
        <v>2724</v>
      </c>
      <c r="S474">
        <v>7</v>
      </c>
      <c r="T474" s="2">
        <v>0.2</v>
      </c>
      <c r="U474" t="s">
        <v>2725</v>
      </c>
    </row>
    <row r="475" spans="1:21">
      <c r="A475">
        <v>122</v>
      </c>
      <c r="B475" t="s">
        <v>2726</v>
      </c>
      <c r="C475" s="1">
        <v>45435</v>
      </c>
      <c r="D475" s="1">
        <v>45439</v>
      </c>
      <c r="E475" t="s">
        <v>36</v>
      </c>
      <c r="F475" t="s">
        <v>2727</v>
      </c>
      <c r="G475" t="s">
        <v>750</v>
      </c>
      <c r="H475" t="s">
        <v>39</v>
      </c>
      <c r="I475" t="s">
        <v>26</v>
      </c>
      <c r="J475" t="s">
        <v>173</v>
      </c>
      <c r="K475" t="s">
        <v>173</v>
      </c>
      <c r="L475">
        <v>23944</v>
      </c>
      <c r="M475" t="s">
        <v>73</v>
      </c>
      <c r="N475" t="s">
        <v>2728</v>
      </c>
      <c r="O475" t="s">
        <v>43</v>
      </c>
      <c r="P475" t="s">
        <v>189</v>
      </c>
      <c r="Q475" t="s">
        <v>2354</v>
      </c>
      <c r="R475" t="s">
        <v>2729</v>
      </c>
      <c r="S475">
        <v>2</v>
      </c>
      <c r="T475" s="2">
        <v>0.3</v>
      </c>
      <c r="U475" t="s">
        <v>2730</v>
      </c>
    </row>
    <row r="476" spans="1:21">
      <c r="A476">
        <v>551</v>
      </c>
      <c r="B476" t="s">
        <v>2731</v>
      </c>
      <c r="C476" s="1">
        <v>45436</v>
      </c>
      <c r="D476" s="1">
        <v>45438</v>
      </c>
      <c r="E476" t="s">
        <v>36</v>
      </c>
      <c r="F476" t="s">
        <v>2732</v>
      </c>
      <c r="G476" t="s">
        <v>384</v>
      </c>
      <c r="H476" t="s">
        <v>25</v>
      </c>
      <c r="I476" t="s">
        <v>26</v>
      </c>
      <c r="J476" t="s">
        <v>301</v>
      </c>
      <c r="K476" t="s">
        <v>301</v>
      </c>
      <c r="L476">
        <v>79000</v>
      </c>
      <c r="M476" t="s">
        <v>73</v>
      </c>
      <c r="N476" t="s">
        <v>1441</v>
      </c>
      <c r="O476" t="s">
        <v>64</v>
      </c>
      <c r="P476" t="s">
        <v>65</v>
      </c>
      <c r="Q476" t="s">
        <v>275</v>
      </c>
      <c r="R476" t="s">
        <v>2733</v>
      </c>
      <c r="S476">
        <v>2</v>
      </c>
      <c r="T476" s="2">
        <v>0.1</v>
      </c>
      <c r="U476" t="s">
        <v>2734</v>
      </c>
    </row>
    <row r="477" spans="1:21">
      <c r="A477">
        <v>560</v>
      </c>
      <c r="B477" t="s">
        <v>2735</v>
      </c>
      <c r="C477" s="1">
        <v>45436</v>
      </c>
      <c r="D477" s="1">
        <v>45440</v>
      </c>
      <c r="E477" t="s">
        <v>36</v>
      </c>
      <c r="F477" t="s">
        <v>2736</v>
      </c>
      <c r="G477" t="s">
        <v>286</v>
      </c>
      <c r="H477" t="s">
        <v>39</v>
      </c>
      <c r="I477" t="s">
        <v>26</v>
      </c>
      <c r="J477" t="s">
        <v>81</v>
      </c>
      <c r="K477" t="s">
        <v>81</v>
      </c>
      <c r="L477">
        <v>31424</v>
      </c>
      <c r="M477" t="s">
        <v>62</v>
      </c>
      <c r="N477" t="s">
        <v>2737</v>
      </c>
      <c r="O477" t="s">
        <v>43</v>
      </c>
      <c r="P477" t="s">
        <v>128</v>
      </c>
      <c r="Q477" t="s">
        <v>1563</v>
      </c>
      <c r="R477" t="s">
        <v>2738</v>
      </c>
      <c r="S477">
        <v>6</v>
      </c>
      <c r="T477" s="2">
        <v>0.3</v>
      </c>
      <c r="U477" t="s">
        <v>2739</v>
      </c>
    </row>
    <row r="478" spans="1:21">
      <c r="A478">
        <v>34</v>
      </c>
      <c r="B478" t="s">
        <v>2740</v>
      </c>
      <c r="C478" s="1">
        <v>45438</v>
      </c>
      <c r="D478" s="1">
        <v>45440</v>
      </c>
      <c r="E478" t="s">
        <v>382</v>
      </c>
      <c r="F478" t="s">
        <v>2741</v>
      </c>
      <c r="G478" t="s">
        <v>2416</v>
      </c>
      <c r="H478" t="s">
        <v>25</v>
      </c>
      <c r="I478" t="s">
        <v>26</v>
      </c>
      <c r="J478" t="s">
        <v>96</v>
      </c>
      <c r="K478" t="s">
        <v>96</v>
      </c>
      <c r="L478">
        <v>85880</v>
      </c>
      <c r="M478" t="s">
        <v>28</v>
      </c>
      <c r="N478" t="s">
        <v>2742</v>
      </c>
      <c r="O478" t="s">
        <v>43</v>
      </c>
      <c r="P478" t="s">
        <v>214</v>
      </c>
      <c r="Q478" t="s">
        <v>1267</v>
      </c>
      <c r="R478" t="s">
        <v>2743</v>
      </c>
      <c r="S478">
        <v>7</v>
      </c>
      <c r="T478" s="2">
        <v>0.1</v>
      </c>
      <c r="U478" t="s">
        <v>2744</v>
      </c>
    </row>
    <row r="479" spans="1:21">
      <c r="A479">
        <v>526</v>
      </c>
      <c r="B479" t="s">
        <v>2745</v>
      </c>
      <c r="C479" s="1">
        <v>45442</v>
      </c>
      <c r="D479" s="1">
        <v>45445</v>
      </c>
      <c r="E479" t="s">
        <v>49</v>
      </c>
      <c r="F479" t="s">
        <v>2746</v>
      </c>
      <c r="G479" t="s">
        <v>236</v>
      </c>
      <c r="H479" t="s">
        <v>25</v>
      </c>
      <c r="I479" t="s">
        <v>26</v>
      </c>
      <c r="J479" t="s">
        <v>260</v>
      </c>
      <c r="K479" t="s">
        <v>260</v>
      </c>
      <c r="L479">
        <v>76567</v>
      </c>
      <c r="M479" t="s">
        <v>41</v>
      </c>
      <c r="N479" t="s">
        <v>2747</v>
      </c>
      <c r="O479" t="s">
        <v>30</v>
      </c>
      <c r="P479" t="s">
        <v>197</v>
      </c>
      <c r="Q479" t="s">
        <v>2748</v>
      </c>
      <c r="R479" t="s">
        <v>2749</v>
      </c>
      <c r="S479">
        <v>7</v>
      </c>
      <c r="T479" s="2">
        <v>0.2</v>
      </c>
      <c r="U479" t="s">
        <v>611</v>
      </c>
    </row>
    <row r="480" spans="1:21">
      <c r="A480">
        <v>414</v>
      </c>
      <c r="B480" t="s">
        <v>2750</v>
      </c>
      <c r="C480" s="1">
        <v>45442</v>
      </c>
      <c r="D480" s="1">
        <v>45445</v>
      </c>
      <c r="E480" t="s">
        <v>49</v>
      </c>
      <c r="F480" t="s">
        <v>2751</v>
      </c>
      <c r="G480" t="s">
        <v>816</v>
      </c>
      <c r="H480" t="s">
        <v>60</v>
      </c>
      <c r="I480" t="s">
        <v>26</v>
      </c>
      <c r="J480" t="s">
        <v>363</v>
      </c>
      <c r="K480" t="s">
        <v>363</v>
      </c>
      <c r="L480">
        <v>20150</v>
      </c>
      <c r="M480" t="s">
        <v>62</v>
      </c>
      <c r="N480" t="s">
        <v>2577</v>
      </c>
      <c r="O480" t="s">
        <v>30</v>
      </c>
      <c r="P480" t="s">
        <v>120</v>
      </c>
      <c r="Q480" t="s">
        <v>576</v>
      </c>
      <c r="R480" t="s">
        <v>2752</v>
      </c>
      <c r="S480">
        <v>4</v>
      </c>
      <c r="T480" s="2">
        <v>0</v>
      </c>
      <c r="U480" t="s">
        <v>2753</v>
      </c>
    </row>
    <row r="481" spans="1:21">
      <c r="A481">
        <v>252</v>
      </c>
      <c r="B481" t="s">
        <v>2754</v>
      </c>
      <c r="C481" s="1">
        <v>45443</v>
      </c>
      <c r="D481" s="1">
        <v>45447</v>
      </c>
      <c r="E481" t="s">
        <v>36</v>
      </c>
      <c r="F481" t="s">
        <v>2755</v>
      </c>
      <c r="G481" t="s">
        <v>362</v>
      </c>
      <c r="H481" t="s">
        <v>60</v>
      </c>
      <c r="I481" t="s">
        <v>26</v>
      </c>
      <c r="J481" t="s">
        <v>150</v>
      </c>
      <c r="K481" t="s">
        <v>150</v>
      </c>
      <c r="L481">
        <v>29601</v>
      </c>
      <c r="M481" t="s">
        <v>73</v>
      </c>
      <c r="N481" t="s">
        <v>2756</v>
      </c>
      <c r="O481" t="s">
        <v>43</v>
      </c>
      <c r="P481" t="s">
        <v>128</v>
      </c>
      <c r="Q481" t="s">
        <v>2757</v>
      </c>
      <c r="R481" t="s">
        <v>2758</v>
      </c>
      <c r="S481">
        <v>2</v>
      </c>
      <c r="T481" s="2">
        <v>0.05</v>
      </c>
      <c r="U481" t="s">
        <v>2759</v>
      </c>
    </row>
    <row r="482" spans="1:21">
      <c r="A482">
        <v>160</v>
      </c>
      <c r="B482" t="s">
        <v>2760</v>
      </c>
      <c r="C482" s="1">
        <v>45444</v>
      </c>
      <c r="D482" s="1">
        <v>45447</v>
      </c>
      <c r="E482" t="s">
        <v>49</v>
      </c>
      <c r="F482" t="s">
        <v>2761</v>
      </c>
      <c r="G482" t="s">
        <v>384</v>
      </c>
      <c r="H482" t="s">
        <v>60</v>
      </c>
      <c r="I482" t="s">
        <v>26</v>
      </c>
      <c r="J482" t="s">
        <v>204</v>
      </c>
      <c r="K482" t="s">
        <v>204</v>
      </c>
      <c r="L482">
        <v>31083</v>
      </c>
      <c r="M482" t="s">
        <v>28</v>
      </c>
      <c r="N482" t="s">
        <v>2762</v>
      </c>
      <c r="O482" t="s">
        <v>30</v>
      </c>
      <c r="P482" t="s">
        <v>120</v>
      </c>
      <c r="Q482" t="s">
        <v>357</v>
      </c>
      <c r="R482" t="s">
        <v>2763</v>
      </c>
      <c r="S482">
        <v>3</v>
      </c>
      <c r="T482" s="2">
        <v>0.05</v>
      </c>
      <c r="U482" t="s">
        <v>2764</v>
      </c>
    </row>
    <row r="483" spans="1:21">
      <c r="A483">
        <v>79</v>
      </c>
      <c r="B483" t="s">
        <v>2765</v>
      </c>
      <c r="C483" s="1">
        <v>45445</v>
      </c>
      <c r="D483" s="1">
        <v>45449</v>
      </c>
      <c r="E483" t="s">
        <v>22</v>
      </c>
      <c r="F483" t="s">
        <v>2766</v>
      </c>
      <c r="G483" t="s">
        <v>71</v>
      </c>
      <c r="H483" t="s">
        <v>25</v>
      </c>
      <c r="I483" t="s">
        <v>26</v>
      </c>
      <c r="J483" t="s">
        <v>40</v>
      </c>
      <c r="K483" t="s">
        <v>40</v>
      </c>
      <c r="L483">
        <v>94976</v>
      </c>
      <c r="M483" t="s">
        <v>41</v>
      </c>
      <c r="N483" t="s">
        <v>2767</v>
      </c>
      <c r="O483" t="s">
        <v>43</v>
      </c>
      <c r="P483" t="s">
        <v>189</v>
      </c>
      <c r="Q483" t="s">
        <v>206</v>
      </c>
      <c r="R483" t="s">
        <v>2059</v>
      </c>
      <c r="S483">
        <v>6</v>
      </c>
      <c r="T483" s="2">
        <v>0.05</v>
      </c>
      <c r="U483" t="s">
        <v>2511</v>
      </c>
    </row>
    <row r="484" spans="1:21">
      <c r="A484">
        <v>499</v>
      </c>
      <c r="B484" t="s">
        <v>2768</v>
      </c>
      <c r="C484" s="1">
        <v>45445</v>
      </c>
      <c r="D484" s="1">
        <v>45449</v>
      </c>
      <c r="E484" t="s">
        <v>49</v>
      </c>
      <c r="F484" t="s">
        <v>2769</v>
      </c>
      <c r="G484" t="s">
        <v>1572</v>
      </c>
      <c r="H484" t="s">
        <v>25</v>
      </c>
      <c r="I484" t="s">
        <v>26</v>
      </c>
      <c r="J484" t="s">
        <v>61</v>
      </c>
      <c r="K484" t="s">
        <v>61</v>
      </c>
      <c r="L484">
        <v>43359</v>
      </c>
      <c r="M484" t="s">
        <v>62</v>
      </c>
      <c r="N484" t="s">
        <v>2770</v>
      </c>
      <c r="O484" t="s">
        <v>64</v>
      </c>
      <c r="P484" t="s">
        <v>105</v>
      </c>
      <c r="Q484" t="s">
        <v>1992</v>
      </c>
      <c r="R484" t="s">
        <v>2771</v>
      </c>
      <c r="S484">
        <v>6</v>
      </c>
      <c r="T484" s="2">
        <v>0.1</v>
      </c>
      <c r="U484" t="s">
        <v>2772</v>
      </c>
    </row>
    <row r="485" spans="1:21">
      <c r="A485">
        <v>71</v>
      </c>
      <c r="B485" t="s">
        <v>2773</v>
      </c>
      <c r="C485" s="1">
        <v>45446</v>
      </c>
      <c r="D485" s="1">
        <v>45450</v>
      </c>
      <c r="E485" t="s">
        <v>36</v>
      </c>
      <c r="F485" t="s">
        <v>2774</v>
      </c>
      <c r="G485" t="s">
        <v>1265</v>
      </c>
      <c r="H485" t="s">
        <v>25</v>
      </c>
      <c r="I485" t="s">
        <v>26</v>
      </c>
      <c r="J485" t="s">
        <v>81</v>
      </c>
      <c r="K485" t="s">
        <v>81</v>
      </c>
      <c r="L485">
        <v>52874</v>
      </c>
      <c r="M485" t="s">
        <v>62</v>
      </c>
      <c r="N485" t="s">
        <v>2775</v>
      </c>
      <c r="O485" t="s">
        <v>30</v>
      </c>
      <c r="P485" t="s">
        <v>197</v>
      </c>
      <c r="Q485" t="s">
        <v>789</v>
      </c>
      <c r="R485" t="s">
        <v>2776</v>
      </c>
      <c r="S485">
        <v>7</v>
      </c>
      <c r="T485" s="2">
        <v>0.05</v>
      </c>
      <c r="U485" t="s">
        <v>2777</v>
      </c>
    </row>
    <row r="486" spans="1:21">
      <c r="A486">
        <v>374</v>
      </c>
      <c r="B486" t="s">
        <v>2778</v>
      </c>
      <c r="C486" s="1">
        <v>45448</v>
      </c>
      <c r="D486" s="1">
        <v>45452</v>
      </c>
      <c r="E486" t="s">
        <v>49</v>
      </c>
      <c r="F486" t="s">
        <v>2779</v>
      </c>
      <c r="G486" t="s">
        <v>300</v>
      </c>
      <c r="H486" t="s">
        <v>25</v>
      </c>
      <c r="I486" t="s">
        <v>26</v>
      </c>
      <c r="J486" t="s">
        <v>212</v>
      </c>
      <c r="K486" t="s">
        <v>212</v>
      </c>
      <c r="L486">
        <v>41362</v>
      </c>
      <c r="M486" t="s">
        <v>28</v>
      </c>
      <c r="N486" t="s">
        <v>499</v>
      </c>
      <c r="O486" t="s">
        <v>30</v>
      </c>
      <c r="P486" t="s">
        <v>120</v>
      </c>
      <c r="Q486" t="s">
        <v>365</v>
      </c>
      <c r="R486" t="s">
        <v>2780</v>
      </c>
      <c r="S486">
        <v>1</v>
      </c>
      <c r="T486" s="2">
        <v>0</v>
      </c>
      <c r="U486" t="s">
        <v>2781</v>
      </c>
    </row>
    <row r="487" spans="1:21">
      <c r="A487">
        <v>282</v>
      </c>
      <c r="B487" t="s">
        <v>2782</v>
      </c>
      <c r="C487" s="1">
        <v>45451</v>
      </c>
      <c r="D487" s="1">
        <v>45453</v>
      </c>
      <c r="E487" t="s">
        <v>36</v>
      </c>
      <c r="F487" t="s">
        <v>2783</v>
      </c>
      <c r="G487" t="s">
        <v>195</v>
      </c>
      <c r="H487" t="s">
        <v>25</v>
      </c>
      <c r="I487" t="s">
        <v>26</v>
      </c>
      <c r="J487" t="s">
        <v>72</v>
      </c>
      <c r="K487" t="s">
        <v>72</v>
      </c>
      <c r="L487">
        <v>52674</v>
      </c>
      <c r="M487" t="s">
        <v>73</v>
      </c>
      <c r="N487" t="s">
        <v>2784</v>
      </c>
      <c r="O487" t="s">
        <v>30</v>
      </c>
      <c r="P487" t="s">
        <v>222</v>
      </c>
      <c r="Q487" t="s">
        <v>2785</v>
      </c>
      <c r="R487" t="s">
        <v>2786</v>
      </c>
      <c r="S487">
        <v>7</v>
      </c>
      <c r="T487" s="2">
        <v>0.3</v>
      </c>
      <c r="U487" t="s">
        <v>2787</v>
      </c>
    </row>
    <row r="488" spans="1:21">
      <c r="A488">
        <v>577</v>
      </c>
      <c r="B488" t="s">
        <v>2788</v>
      </c>
      <c r="C488" s="1">
        <v>45453</v>
      </c>
      <c r="D488" s="1">
        <v>45457</v>
      </c>
      <c r="E488" t="s">
        <v>36</v>
      </c>
      <c r="F488" t="s">
        <v>2789</v>
      </c>
      <c r="G488" t="s">
        <v>1219</v>
      </c>
      <c r="H488" t="s">
        <v>25</v>
      </c>
      <c r="I488" t="s">
        <v>26</v>
      </c>
      <c r="J488" t="s">
        <v>237</v>
      </c>
      <c r="K488" t="s">
        <v>237</v>
      </c>
      <c r="L488">
        <v>71836</v>
      </c>
      <c r="M488" t="s">
        <v>41</v>
      </c>
      <c r="N488" t="s">
        <v>412</v>
      </c>
      <c r="O488" t="s">
        <v>64</v>
      </c>
      <c r="P488" t="s">
        <v>136</v>
      </c>
      <c r="Q488" t="s">
        <v>1680</v>
      </c>
      <c r="R488" t="s">
        <v>2790</v>
      </c>
      <c r="S488">
        <v>5</v>
      </c>
      <c r="T488" s="2">
        <v>0.15</v>
      </c>
      <c r="U488" t="s">
        <v>2791</v>
      </c>
    </row>
    <row r="489" spans="1:21">
      <c r="A489">
        <v>490</v>
      </c>
      <c r="B489" t="s">
        <v>2792</v>
      </c>
      <c r="C489" s="1">
        <v>45454</v>
      </c>
      <c r="D489" s="1">
        <v>45458</v>
      </c>
      <c r="E489" t="s">
        <v>36</v>
      </c>
      <c r="F489" t="s">
        <v>2793</v>
      </c>
      <c r="G489" t="s">
        <v>300</v>
      </c>
      <c r="H489" t="s">
        <v>25</v>
      </c>
      <c r="I489" t="s">
        <v>26</v>
      </c>
      <c r="J489" t="s">
        <v>96</v>
      </c>
      <c r="K489" t="s">
        <v>96</v>
      </c>
      <c r="L489">
        <v>53151</v>
      </c>
      <c r="M489" t="s">
        <v>28</v>
      </c>
      <c r="N489" t="s">
        <v>2794</v>
      </c>
      <c r="O489" t="s">
        <v>64</v>
      </c>
      <c r="P489" t="s">
        <v>405</v>
      </c>
      <c r="Q489" t="s">
        <v>2551</v>
      </c>
      <c r="R489" t="s">
        <v>2795</v>
      </c>
      <c r="S489">
        <v>6</v>
      </c>
      <c r="T489" s="2">
        <v>0.05</v>
      </c>
      <c r="U489" t="s">
        <v>2796</v>
      </c>
    </row>
    <row r="490" spans="1:21">
      <c r="A490">
        <v>505</v>
      </c>
      <c r="B490" t="s">
        <v>2797</v>
      </c>
      <c r="C490" s="1">
        <v>45459</v>
      </c>
      <c r="D490" s="1">
        <v>45463</v>
      </c>
      <c r="E490" t="s">
        <v>36</v>
      </c>
      <c r="F490" t="s">
        <v>2798</v>
      </c>
      <c r="G490" t="s">
        <v>587</v>
      </c>
      <c r="H490" t="s">
        <v>60</v>
      </c>
      <c r="I490" t="s">
        <v>26</v>
      </c>
      <c r="J490" t="s">
        <v>150</v>
      </c>
      <c r="K490" t="s">
        <v>150</v>
      </c>
      <c r="L490">
        <v>75206</v>
      </c>
      <c r="M490" t="s">
        <v>73</v>
      </c>
      <c r="N490" t="s">
        <v>433</v>
      </c>
      <c r="O490" t="s">
        <v>43</v>
      </c>
      <c r="P490" t="s">
        <v>166</v>
      </c>
      <c r="Q490" t="s">
        <v>2799</v>
      </c>
      <c r="R490" t="s">
        <v>2800</v>
      </c>
      <c r="S490">
        <v>3</v>
      </c>
      <c r="T490" s="2">
        <v>0</v>
      </c>
      <c r="U490" t="s">
        <v>2801</v>
      </c>
    </row>
    <row r="491" spans="1:21">
      <c r="A491">
        <v>212</v>
      </c>
      <c r="B491" t="s">
        <v>2802</v>
      </c>
      <c r="C491" s="1">
        <v>45460</v>
      </c>
      <c r="D491" s="1">
        <v>45461</v>
      </c>
      <c r="E491" t="s">
        <v>36</v>
      </c>
      <c r="F491" t="s">
        <v>2803</v>
      </c>
      <c r="G491" t="s">
        <v>909</v>
      </c>
      <c r="H491" t="s">
        <v>60</v>
      </c>
      <c r="I491" t="s">
        <v>26</v>
      </c>
      <c r="J491" t="s">
        <v>641</v>
      </c>
      <c r="K491" t="s">
        <v>641</v>
      </c>
      <c r="L491">
        <v>16476</v>
      </c>
      <c r="M491" t="s">
        <v>62</v>
      </c>
      <c r="N491" t="s">
        <v>2804</v>
      </c>
      <c r="O491" t="s">
        <v>43</v>
      </c>
      <c r="P491" t="s">
        <v>128</v>
      </c>
      <c r="Q491" t="s">
        <v>1094</v>
      </c>
      <c r="R491" t="s">
        <v>2805</v>
      </c>
      <c r="S491">
        <v>4</v>
      </c>
      <c r="T491" s="2">
        <v>0.3</v>
      </c>
      <c r="U491" t="s">
        <v>2806</v>
      </c>
    </row>
    <row r="492" spans="1:21">
      <c r="A492">
        <v>525</v>
      </c>
      <c r="B492" t="s">
        <v>2807</v>
      </c>
      <c r="C492" s="1">
        <v>45462</v>
      </c>
      <c r="D492" s="1">
        <v>45463</v>
      </c>
      <c r="E492" t="s">
        <v>36</v>
      </c>
      <c r="F492" t="s">
        <v>2808</v>
      </c>
      <c r="G492" t="s">
        <v>1166</v>
      </c>
      <c r="H492" t="s">
        <v>25</v>
      </c>
      <c r="I492" t="s">
        <v>26</v>
      </c>
      <c r="J492" t="s">
        <v>260</v>
      </c>
      <c r="K492" t="s">
        <v>260</v>
      </c>
      <c r="L492">
        <v>21322</v>
      </c>
      <c r="M492" t="s">
        <v>41</v>
      </c>
      <c r="N492" t="s">
        <v>2809</v>
      </c>
      <c r="O492" t="s">
        <v>43</v>
      </c>
      <c r="P492" t="s">
        <v>166</v>
      </c>
      <c r="Q492" t="s">
        <v>2810</v>
      </c>
      <c r="R492" t="s">
        <v>2811</v>
      </c>
      <c r="S492">
        <v>3</v>
      </c>
      <c r="T492" s="2">
        <v>0.05</v>
      </c>
      <c r="U492" t="s">
        <v>2812</v>
      </c>
    </row>
    <row r="493" spans="1:21">
      <c r="A493">
        <v>511</v>
      </c>
      <c r="B493" t="s">
        <v>2813</v>
      </c>
      <c r="C493" s="1">
        <v>45463</v>
      </c>
      <c r="D493" s="1">
        <v>45466</v>
      </c>
      <c r="E493" t="s">
        <v>22</v>
      </c>
      <c r="F493" t="s">
        <v>2814</v>
      </c>
      <c r="G493" t="s">
        <v>1429</v>
      </c>
      <c r="H493" t="s">
        <v>60</v>
      </c>
      <c r="I493" t="s">
        <v>26</v>
      </c>
      <c r="J493" t="s">
        <v>245</v>
      </c>
      <c r="K493" t="s">
        <v>245</v>
      </c>
      <c r="L493">
        <v>93346</v>
      </c>
      <c r="M493" t="s">
        <v>41</v>
      </c>
      <c r="N493" t="s">
        <v>1652</v>
      </c>
      <c r="O493" t="s">
        <v>43</v>
      </c>
      <c r="P493" t="s">
        <v>44</v>
      </c>
      <c r="Q493" t="s">
        <v>90</v>
      </c>
      <c r="R493" t="s">
        <v>2815</v>
      </c>
      <c r="S493">
        <v>4</v>
      </c>
      <c r="T493" s="2">
        <v>0.5</v>
      </c>
      <c r="U493" t="s">
        <v>2816</v>
      </c>
    </row>
    <row r="494" spans="1:21">
      <c r="A494">
        <v>398</v>
      </c>
      <c r="B494" t="s">
        <v>2817</v>
      </c>
      <c r="C494" s="1">
        <v>45466</v>
      </c>
      <c r="D494" s="1">
        <v>45472</v>
      </c>
      <c r="E494" t="s">
        <v>36</v>
      </c>
      <c r="F494" t="s">
        <v>2818</v>
      </c>
      <c r="G494" t="s">
        <v>172</v>
      </c>
      <c r="H494" t="s">
        <v>25</v>
      </c>
      <c r="I494" t="s">
        <v>26</v>
      </c>
      <c r="J494" t="s">
        <v>40</v>
      </c>
      <c r="K494" t="s">
        <v>40</v>
      </c>
      <c r="L494">
        <v>13771</v>
      </c>
      <c r="M494" t="s">
        <v>41</v>
      </c>
      <c r="N494" t="s">
        <v>2819</v>
      </c>
      <c r="O494" t="s">
        <v>43</v>
      </c>
      <c r="P494" t="s">
        <v>166</v>
      </c>
      <c r="Q494" t="s">
        <v>972</v>
      </c>
      <c r="R494" t="s">
        <v>2820</v>
      </c>
      <c r="S494">
        <v>1</v>
      </c>
      <c r="T494" s="2">
        <v>0.2</v>
      </c>
      <c r="U494" t="s">
        <v>468</v>
      </c>
    </row>
    <row r="495" spans="1:21">
      <c r="A495">
        <v>228</v>
      </c>
      <c r="B495" t="s">
        <v>2821</v>
      </c>
      <c r="C495" s="1">
        <v>45467</v>
      </c>
      <c r="D495" s="1">
        <v>45468</v>
      </c>
      <c r="E495" t="s">
        <v>36</v>
      </c>
      <c r="F495" t="s">
        <v>2822</v>
      </c>
      <c r="G495" t="s">
        <v>432</v>
      </c>
      <c r="H495" t="s">
        <v>60</v>
      </c>
      <c r="I495" t="s">
        <v>26</v>
      </c>
      <c r="J495" t="s">
        <v>40</v>
      </c>
      <c r="K495" t="s">
        <v>40</v>
      </c>
      <c r="L495">
        <v>25408</v>
      </c>
      <c r="M495" t="s">
        <v>41</v>
      </c>
      <c r="N495" t="s">
        <v>2823</v>
      </c>
      <c r="O495" t="s">
        <v>30</v>
      </c>
      <c r="P495" t="s">
        <v>222</v>
      </c>
      <c r="Q495" t="s">
        <v>2824</v>
      </c>
      <c r="R495" t="s">
        <v>2825</v>
      </c>
      <c r="S495">
        <v>3</v>
      </c>
      <c r="T495" s="2">
        <v>0.1</v>
      </c>
      <c r="U495" t="s">
        <v>2826</v>
      </c>
    </row>
    <row r="496" spans="1:21">
      <c r="A496">
        <v>162</v>
      </c>
      <c r="B496" t="s">
        <v>2827</v>
      </c>
      <c r="C496" s="1">
        <v>45467</v>
      </c>
      <c r="D496" s="1">
        <v>45469</v>
      </c>
      <c r="E496" t="s">
        <v>36</v>
      </c>
      <c r="F496" t="s">
        <v>1440</v>
      </c>
      <c r="G496" t="s">
        <v>1117</v>
      </c>
      <c r="H496" t="s">
        <v>39</v>
      </c>
      <c r="I496" t="s">
        <v>26</v>
      </c>
      <c r="J496" t="s">
        <v>61</v>
      </c>
      <c r="K496" t="s">
        <v>61</v>
      </c>
      <c r="L496">
        <v>22866</v>
      </c>
      <c r="M496" t="s">
        <v>62</v>
      </c>
      <c r="N496" t="s">
        <v>581</v>
      </c>
      <c r="O496" t="s">
        <v>43</v>
      </c>
      <c r="P496" t="s">
        <v>83</v>
      </c>
      <c r="Q496" t="s">
        <v>2828</v>
      </c>
      <c r="R496" t="s">
        <v>2829</v>
      </c>
      <c r="S496">
        <v>3</v>
      </c>
      <c r="T496" s="2">
        <v>0.5</v>
      </c>
      <c r="U496" t="s">
        <v>2830</v>
      </c>
    </row>
    <row r="497" spans="1:21">
      <c r="A497">
        <v>99</v>
      </c>
      <c r="B497" t="s">
        <v>2831</v>
      </c>
      <c r="C497" s="1">
        <v>45470</v>
      </c>
      <c r="D497" s="1">
        <v>45472</v>
      </c>
      <c r="E497" t="s">
        <v>22</v>
      </c>
      <c r="F497" t="s">
        <v>2832</v>
      </c>
      <c r="G497" t="s">
        <v>677</v>
      </c>
      <c r="H497" t="s">
        <v>25</v>
      </c>
      <c r="I497" t="s">
        <v>26</v>
      </c>
      <c r="J497" t="s">
        <v>40</v>
      </c>
      <c r="K497" t="s">
        <v>40</v>
      </c>
      <c r="L497">
        <v>75429</v>
      </c>
      <c r="M497" t="s">
        <v>41</v>
      </c>
      <c r="N497" t="s">
        <v>294</v>
      </c>
      <c r="O497" t="s">
        <v>30</v>
      </c>
      <c r="P497" t="s">
        <v>197</v>
      </c>
      <c r="Q497" t="s">
        <v>2052</v>
      </c>
      <c r="R497" t="s">
        <v>2833</v>
      </c>
      <c r="S497">
        <v>5</v>
      </c>
      <c r="T497" s="2">
        <v>0.2</v>
      </c>
      <c r="U497" t="s">
        <v>2834</v>
      </c>
    </row>
    <row r="498" spans="1:21">
      <c r="A498">
        <v>164</v>
      </c>
      <c r="B498" t="s">
        <v>2835</v>
      </c>
      <c r="C498" s="1">
        <v>45471</v>
      </c>
      <c r="D498" s="1">
        <v>45475</v>
      </c>
      <c r="E498" t="s">
        <v>36</v>
      </c>
      <c r="F498" t="s">
        <v>2836</v>
      </c>
      <c r="G498" t="s">
        <v>2309</v>
      </c>
      <c r="H498" t="s">
        <v>60</v>
      </c>
      <c r="I498" t="s">
        <v>26</v>
      </c>
      <c r="J498" t="s">
        <v>229</v>
      </c>
      <c r="K498" t="s">
        <v>229</v>
      </c>
      <c r="L498">
        <v>73671</v>
      </c>
      <c r="M498" t="s">
        <v>73</v>
      </c>
      <c r="N498" t="s">
        <v>2314</v>
      </c>
      <c r="O498" t="s">
        <v>43</v>
      </c>
      <c r="P498" t="s">
        <v>44</v>
      </c>
      <c r="Q498" t="s">
        <v>853</v>
      </c>
      <c r="R498" t="s">
        <v>2837</v>
      </c>
      <c r="S498">
        <v>7</v>
      </c>
      <c r="T498" s="2">
        <v>0.3</v>
      </c>
      <c r="U498" t="s">
        <v>2838</v>
      </c>
    </row>
    <row r="499" spans="1:21">
      <c r="A499">
        <v>151</v>
      </c>
      <c r="B499" t="s">
        <v>2839</v>
      </c>
      <c r="C499" s="1">
        <v>45471</v>
      </c>
      <c r="D499" s="1">
        <v>45475</v>
      </c>
      <c r="E499" t="s">
        <v>49</v>
      </c>
      <c r="F499" t="s">
        <v>2840</v>
      </c>
      <c r="G499" t="s">
        <v>492</v>
      </c>
      <c r="H499" t="s">
        <v>60</v>
      </c>
      <c r="I499" t="s">
        <v>26</v>
      </c>
      <c r="J499" t="s">
        <v>157</v>
      </c>
      <c r="K499" t="s">
        <v>157</v>
      </c>
      <c r="L499">
        <v>12282</v>
      </c>
      <c r="M499" t="s">
        <v>62</v>
      </c>
      <c r="N499" t="s">
        <v>2841</v>
      </c>
      <c r="O499" t="s">
        <v>30</v>
      </c>
      <c r="P499" t="s">
        <v>222</v>
      </c>
      <c r="Q499" t="s">
        <v>596</v>
      </c>
      <c r="R499" t="s">
        <v>2842</v>
      </c>
      <c r="S499">
        <v>5</v>
      </c>
      <c r="T499" s="2">
        <v>0</v>
      </c>
      <c r="U499" t="s">
        <v>2843</v>
      </c>
    </row>
    <row r="500" spans="1:21">
      <c r="A500">
        <v>59</v>
      </c>
      <c r="B500" t="s">
        <v>2844</v>
      </c>
      <c r="C500" s="1">
        <v>45476</v>
      </c>
      <c r="D500" s="1">
        <v>45479</v>
      </c>
      <c r="E500" t="s">
        <v>36</v>
      </c>
      <c r="F500" t="s">
        <v>2845</v>
      </c>
      <c r="G500" t="s">
        <v>126</v>
      </c>
      <c r="H500" t="s">
        <v>39</v>
      </c>
      <c r="I500" t="s">
        <v>26</v>
      </c>
      <c r="J500" t="s">
        <v>204</v>
      </c>
      <c r="K500" t="s">
        <v>204</v>
      </c>
      <c r="L500">
        <v>72516</v>
      </c>
      <c r="M500" t="s">
        <v>28</v>
      </c>
      <c r="N500" t="s">
        <v>2846</v>
      </c>
      <c r="O500" t="s">
        <v>43</v>
      </c>
      <c r="P500" t="s">
        <v>214</v>
      </c>
      <c r="Q500" t="s">
        <v>2847</v>
      </c>
      <c r="R500" t="s">
        <v>2848</v>
      </c>
      <c r="S500">
        <v>4</v>
      </c>
      <c r="T500" s="2">
        <v>0.2</v>
      </c>
      <c r="U500" t="s">
        <v>2849</v>
      </c>
    </row>
    <row r="501" spans="1:21">
      <c r="A501">
        <v>77</v>
      </c>
      <c r="B501" t="s">
        <v>2850</v>
      </c>
      <c r="C501" s="1">
        <v>45477</v>
      </c>
      <c r="D501" s="1">
        <v>45481</v>
      </c>
      <c r="E501" t="s">
        <v>36</v>
      </c>
      <c r="F501" t="s">
        <v>2851</v>
      </c>
      <c r="G501" t="s">
        <v>300</v>
      </c>
      <c r="H501" t="s">
        <v>39</v>
      </c>
      <c r="I501" t="s">
        <v>26</v>
      </c>
      <c r="J501" t="s">
        <v>81</v>
      </c>
      <c r="K501" t="s">
        <v>81</v>
      </c>
      <c r="L501">
        <v>31195</v>
      </c>
      <c r="M501" t="s">
        <v>62</v>
      </c>
      <c r="N501" t="s">
        <v>1712</v>
      </c>
      <c r="O501" t="s">
        <v>64</v>
      </c>
      <c r="P501" t="s">
        <v>105</v>
      </c>
      <c r="Q501" t="s">
        <v>2852</v>
      </c>
      <c r="R501" t="s">
        <v>2853</v>
      </c>
      <c r="S501">
        <v>2</v>
      </c>
      <c r="T501" s="2">
        <v>0.3</v>
      </c>
      <c r="U501" t="s">
        <v>2854</v>
      </c>
    </row>
    <row r="502" spans="1:21">
      <c r="A502">
        <v>471</v>
      </c>
      <c r="B502" t="s">
        <v>2855</v>
      </c>
      <c r="C502" s="1">
        <v>45477</v>
      </c>
      <c r="D502" s="1">
        <v>45479</v>
      </c>
      <c r="E502" t="s">
        <v>36</v>
      </c>
      <c r="F502" t="s">
        <v>2856</v>
      </c>
      <c r="G502" t="s">
        <v>228</v>
      </c>
      <c r="H502" t="s">
        <v>25</v>
      </c>
      <c r="I502" t="s">
        <v>26</v>
      </c>
      <c r="J502" t="s">
        <v>245</v>
      </c>
      <c r="K502" t="s">
        <v>245</v>
      </c>
      <c r="L502">
        <v>74591</v>
      </c>
      <c r="M502" t="s">
        <v>41</v>
      </c>
      <c r="N502" t="s">
        <v>1414</v>
      </c>
      <c r="O502" t="s">
        <v>30</v>
      </c>
      <c r="P502" t="s">
        <v>120</v>
      </c>
      <c r="Q502" t="s">
        <v>2102</v>
      </c>
      <c r="R502" t="s">
        <v>2857</v>
      </c>
      <c r="S502">
        <v>6</v>
      </c>
      <c r="T502" s="2">
        <v>0.2</v>
      </c>
      <c r="U502" t="s">
        <v>2858</v>
      </c>
    </row>
    <row r="503" spans="1:21">
      <c r="A503">
        <v>550</v>
      </c>
      <c r="B503" t="s">
        <v>2859</v>
      </c>
      <c r="C503" s="1">
        <v>45480</v>
      </c>
      <c r="D503" s="1">
        <v>45483</v>
      </c>
      <c r="E503" t="s">
        <v>49</v>
      </c>
      <c r="F503" t="s">
        <v>2860</v>
      </c>
      <c r="G503" t="s">
        <v>95</v>
      </c>
      <c r="H503" t="s">
        <v>25</v>
      </c>
      <c r="I503" t="s">
        <v>26</v>
      </c>
      <c r="J503" t="s">
        <v>212</v>
      </c>
      <c r="K503" t="s">
        <v>212</v>
      </c>
      <c r="L503">
        <v>92238</v>
      </c>
      <c r="M503" t="s">
        <v>28</v>
      </c>
      <c r="N503" t="s">
        <v>2809</v>
      </c>
      <c r="O503" t="s">
        <v>64</v>
      </c>
      <c r="P503" t="s">
        <v>65</v>
      </c>
      <c r="Q503" t="s">
        <v>1902</v>
      </c>
      <c r="R503" t="s">
        <v>2861</v>
      </c>
      <c r="S503">
        <v>7</v>
      </c>
      <c r="T503" s="2">
        <v>0.3</v>
      </c>
      <c r="U503" t="s">
        <v>2862</v>
      </c>
    </row>
    <row r="504" spans="1:21">
      <c r="A504">
        <v>221</v>
      </c>
      <c r="B504" t="s">
        <v>2863</v>
      </c>
      <c r="C504" s="1">
        <v>45481</v>
      </c>
      <c r="D504" s="1">
        <v>45485</v>
      </c>
      <c r="E504" t="s">
        <v>22</v>
      </c>
      <c r="F504" t="s">
        <v>2864</v>
      </c>
      <c r="G504" t="s">
        <v>1519</v>
      </c>
      <c r="H504" t="s">
        <v>25</v>
      </c>
      <c r="I504" t="s">
        <v>26</v>
      </c>
      <c r="J504" t="s">
        <v>212</v>
      </c>
      <c r="K504" t="s">
        <v>212</v>
      </c>
      <c r="L504">
        <v>43340</v>
      </c>
      <c r="M504" t="s">
        <v>28</v>
      </c>
      <c r="N504" t="s">
        <v>82</v>
      </c>
      <c r="O504" t="s">
        <v>43</v>
      </c>
      <c r="P504" t="s">
        <v>166</v>
      </c>
      <c r="Q504" t="s">
        <v>2031</v>
      </c>
      <c r="R504" t="s">
        <v>2865</v>
      </c>
      <c r="S504">
        <v>2</v>
      </c>
      <c r="T504" s="2">
        <v>0.1</v>
      </c>
      <c r="U504" t="s">
        <v>2866</v>
      </c>
    </row>
    <row r="505" spans="1:21">
      <c r="A505">
        <v>518</v>
      </c>
      <c r="B505" t="s">
        <v>2867</v>
      </c>
      <c r="C505" s="1">
        <v>45484</v>
      </c>
      <c r="D505" s="1">
        <v>45490</v>
      </c>
      <c r="E505" t="s">
        <v>49</v>
      </c>
      <c r="F505" t="s">
        <v>2868</v>
      </c>
      <c r="G505" t="s">
        <v>1479</v>
      </c>
      <c r="H505" t="s">
        <v>25</v>
      </c>
      <c r="I505" t="s">
        <v>26</v>
      </c>
      <c r="J505" t="s">
        <v>301</v>
      </c>
      <c r="K505" t="s">
        <v>301</v>
      </c>
      <c r="L505">
        <v>66344</v>
      </c>
      <c r="M505" t="s">
        <v>73</v>
      </c>
      <c r="N505" t="s">
        <v>2869</v>
      </c>
      <c r="O505" t="s">
        <v>43</v>
      </c>
      <c r="P505" t="s">
        <v>128</v>
      </c>
      <c r="Q505" t="s">
        <v>668</v>
      </c>
      <c r="R505" t="s">
        <v>2870</v>
      </c>
      <c r="S505">
        <v>1</v>
      </c>
      <c r="T505" s="2">
        <v>0.3</v>
      </c>
      <c r="U505" t="s">
        <v>2871</v>
      </c>
    </row>
    <row r="506" spans="1:21">
      <c r="A506">
        <v>210</v>
      </c>
      <c r="B506" t="s">
        <v>2872</v>
      </c>
      <c r="C506" s="1">
        <v>45486</v>
      </c>
      <c r="D506" s="1">
        <v>45489</v>
      </c>
      <c r="E506" t="s">
        <v>22</v>
      </c>
      <c r="F506" t="s">
        <v>348</v>
      </c>
      <c r="G506" t="s">
        <v>640</v>
      </c>
      <c r="H506" t="s">
        <v>25</v>
      </c>
      <c r="I506" t="s">
        <v>26</v>
      </c>
      <c r="J506" t="s">
        <v>204</v>
      </c>
      <c r="K506" t="s">
        <v>204</v>
      </c>
      <c r="L506">
        <v>50142</v>
      </c>
      <c r="M506" t="s">
        <v>28</v>
      </c>
      <c r="N506" t="s">
        <v>2873</v>
      </c>
      <c r="O506" t="s">
        <v>43</v>
      </c>
      <c r="P506" t="s">
        <v>44</v>
      </c>
      <c r="Q506" t="s">
        <v>239</v>
      </c>
      <c r="R506" t="s">
        <v>2874</v>
      </c>
      <c r="S506">
        <v>5</v>
      </c>
      <c r="T506" s="2">
        <v>0.3</v>
      </c>
      <c r="U506" t="s">
        <v>2875</v>
      </c>
    </row>
    <row r="507" spans="1:21">
      <c r="A507">
        <v>388</v>
      </c>
      <c r="B507" t="s">
        <v>2876</v>
      </c>
      <c r="C507" s="1">
        <v>45489</v>
      </c>
      <c r="D507" s="1">
        <v>45491</v>
      </c>
      <c r="E507" t="s">
        <v>22</v>
      </c>
      <c r="F507" t="s">
        <v>2877</v>
      </c>
      <c r="G507" t="s">
        <v>211</v>
      </c>
      <c r="H507" t="s">
        <v>39</v>
      </c>
      <c r="I507" t="s">
        <v>26</v>
      </c>
      <c r="J507" t="s">
        <v>72</v>
      </c>
      <c r="K507" t="s">
        <v>72</v>
      </c>
      <c r="L507">
        <v>14792</v>
      </c>
      <c r="M507" t="s">
        <v>73</v>
      </c>
      <c r="N507" t="s">
        <v>2762</v>
      </c>
      <c r="O507" t="s">
        <v>30</v>
      </c>
      <c r="P507" t="s">
        <v>31</v>
      </c>
      <c r="Q507" t="s">
        <v>2878</v>
      </c>
      <c r="R507" t="s">
        <v>2879</v>
      </c>
      <c r="S507">
        <v>1</v>
      </c>
      <c r="T507" s="2">
        <v>0</v>
      </c>
      <c r="U507" t="s">
        <v>2880</v>
      </c>
    </row>
    <row r="508" spans="1:21">
      <c r="A508">
        <v>17</v>
      </c>
      <c r="B508" t="s">
        <v>2881</v>
      </c>
      <c r="C508" s="1">
        <v>45489</v>
      </c>
      <c r="D508" s="1">
        <v>45494</v>
      </c>
      <c r="E508" t="s">
        <v>22</v>
      </c>
      <c r="F508" t="s">
        <v>2882</v>
      </c>
      <c r="G508" t="s">
        <v>1219</v>
      </c>
      <c r="H508" t="s">
        <v>39</v>
      </c>
      <c r="I508" t="s">
        <v>26</v>
      </c>
      <c r="J508" t="s">
        <v>204</v>
      </c>
      <c r="K508" t="s">
        <v>204</v>
      </c>
      <c r="L508">
        <v>37751</v>
      </c>
      <c r="M508" t="s">
        <v>28</v>
      </c>
      <c r="N508" t="s">
        <v>253</v>
      </c>
      <c r="O508" t="s">
        <v>43</v>
      </c>
      <c r="P508" t="s">
        <v>128</v>
      </c>
      <c r="Q508" t="s">
        <v>2340</v>
      </c>
      <c r="R508" t="s">
        <v>2883</v>
      </c>
      <c r="S508">
        <v>6</v>
      </c>
      <c r="T508" s="2">
        <v>0</v>
      </c>
      <c r="U508" t="s">
        <v>2884</v>
      </c>
    </row>
    <row r="509" spans="1:21">
      <c r="A509">
        <v>392</v>
      </c>
      <c r="B509" t="s">
        <v>2885</v>
      </c>
      <c r="C509" s="1">
        <v>45490</v>
      </c>
      <c r="D509" s="1">
        <v>45495</v>
      </c>
      <c r="E509" t="s">
        <v>49</v>
      </c>
      <c r="F509" t="s">
        <v>2886</v>
      </c>
      <c r="G509" t="s">
        <v>349</v>
      </c>
      <c r="H509" t="s">
        <v>60</v>
      </c>
      <c r="I509" t="s">
        <v>26</v>
      </c>
      <c r="J509" t="s">
        <v>81</v>
      </c>
      <c r="K509" t="s">
        <v>81</v>
      </c>
      <c r="L509">
        <v>54912</v>
      </c>
      <c r="M509" t="s">
        <v>62</v>
      </c>
      <c r="N509" t="s">
        <v>2887</v>
      </c>
      <c r="O509" t="s">
        <v>43</v>
      </c>
      <c r="P509" t="s">
        <v>166</v>
      </c>
      <c r="Q509" t="s">
        <v>1847</v>
      </c>
      <c r="R509" t="s">
        <v>2888</v>
      </c>
      <c r="S509">
        <v>4</v>
      </c>
      <c r="T509" s="2">
        <v>0.5</v>
      </c>
      <c r="U509" t="s">
        <v>2889</v>
      </c>
    </row>
    <row r="510" spans="1:21">
      <c r="A510">
        <v>569</v>
      </c>
      <c r="B510" t="s">
        <v>2890</v>
      </c>
      <c r="C510" s="1">
        <v>45494</v>
      </c>
      <c r="D510" s="1">
        <v>45495</v>
      </c>
      <c r="E510" t="s">
        <v>49</v>
      </c>
      <c r="F510" t="s">
        <v>2891</v>
      </c>
      <c r="G510" t="s">
        <v>51</v>
      </c>
      <c r="H510" t="s">
        <v>25</v>
      </c>
      <c r="I510" t="s">
        <v>26</v>
      </c>
      <c r="J510" t="s">
        <v>27</v>
      </c>
      <c r="K510" t="s">
        <v>27</v>
      </c>
      <c r="L510">
        <v>20129</v>
      </c>
      <c r="M510" t="s">
        <v>28</v>
      </c>
      <c r="N510" t="s">
        <v>426</v>
      </c>
      <c r="O510" t="s">
        <v>30</v>
      </c>
      <c r="P510" t="s">
        <v>197</v>
      </c>
      <c r="Q510" t="s">
        <v>2509</v>
      </c>
      <c r="R510" t="s">
        <v>2892</v>
      </c>
      <c r="S510">
        <v>6</v>
      </c>
      <c r="T510" s="2">
        <v>0.3</v>
      </c>
      <c r="U510" t="s">
        <v>2893</v>
      </c>
    </row>
    <row r="511" spans="1:21">
      <c r="A511">
        <v>143</v>
      </c>
      <c r="B511" t="s">
        <v>2894</v>
      </c>
      <c r="C511" s="1">
        <v>45495</v>
      </c>
      <c r="D511" s="1">
        <v>45497</v>
      </c>
      <c r="E511" t="s">
        <v>36</v>
      </c>
      <c r="F511" t="s">
        <v>2895</v>
      </c>
      <c r="G511" t="s">
        <v>1850</v>
      </c>
      <c r="H511" t="s">
        <v>25</v>
      </c>
      <c r="I511" t="s">
        <v>26</v>
      </c>
      <c r="J511" t="s">
        <v>27</v>
      </c>
      <c r="K511" t="s">
        <v>27</v>
      </c>
      <c r="L511">
        <v>60139</v>
      </c>
      <c r="M511" t="s">
        <v>28</v>
      </c>
      <c r="N511" t="s">
        <v>1556</v>
      </c>
      <c r="O511" t="s">
        <v>30</v>
      </c>
      <c r="P511" t="s">
        <v>197</v>
      </c>
      <c r="Q511" t="s">
        <v>2896</v>
      </c>
      <c r="R511" t="s">
        <v>2897</v>
      </c>
      <c r="S511">
        <v>3</v>
      </c>
      <c r="T511" s="2">
        <v>0</v>
      </c>
      <c r="U511" t="s">
        <v>2898</v>
      </c>
    </row>
    <row r="512" spans="1:21">
      <c r="A512">
        <v>83</v>
      </c>
      <c r="B512" t="s">
        <v>2899</v>
      </c>
      <c r="C512" s="1">
        <v>45497</v>
      </c>
      <c r="D512" s="1">
        <v>45498</v>
      </c>
      <c r="E512" t="s">
        <v>36</v>
      </c>
      <c r="F512" t="s">
        <v>2900</v>
      </c>
      <c r="G512" t="s">
        <v>329</v>
      </c>
      <c r="H512" t="s">
        <v>25</v>
      </c>
      <c r="I512" t="s">
        <v>26</v>
      </c>
      <c r="J512" t="s">
        <v>438</v>
      </c>
      <c r="K512" t="s">
        <v>438</v>
      </c>
      <c r="L512">
        <v>91905</v>
      </c>
      <c r="M512" t="s">
        <v>28</v>
      </c>
      <c r="N512" t="s">
        <v>2556</v>
      </c>
      <c r="O512" t="s">
        <v>30</v>
      </c>
      <c r="P512" t="s">
        <v>31</v>
      </c>
      <c r="Q512" t="s">
        <v>32</v>
      </c>
      <c r="R512" t="s">
        <v>2901</v>
      </c>
      <c r="S512">
        <v>6</v>
      </c>
      <c r="T512" s="2">
        <v>0.15</v>
      </c>
      <c r="U512" t="s">
        <v>2902</v>
      </c>
    </row>
    <row r="513" spans="1:21">
      <c r="A513">
        <v>542</v>
      </c>
      <c r="B513" t="s">
        <v>2903</v>
      </c>
      <c r="C513" s="1">
        <v>45498</v>
      </c>
      <c r="D513" s="1">
        <v>45500</v>
      </c>
      <c r="E513" t="s">
        <v>36</v>
      </c>
      <c r="F513" t="s">
        <v>2904</v>
      </c>
      <c r="G513" t="s">
        <v>142</v>
      </c>
      <c r="H513" t="s">
        <v>25</v>
      </c>
      <c r="I513" t="s">
        <v>26</v>
      </c>
      <c r="J513" t="s">
        <v>72</v>
      </c>
      <c r="K513" t="s">
        <v>72</v>
      </c>
      <c r="L513">
        <v>85783</v>
      </c>
      <c r="M513" t="s">
        <v>73</v>
      </c>
      <c r="N513" t="s">
        <v>2905</v>
      </c>
      <c r="O513" t="s">
        <v>43</v>
      </c>
      <c r="P513" t="s">
        <v>83</v>
      </c>
      <c r="Q513" t="s">
        <v>609</v>
      </c>
      <c r="R513" t="s">
        <v>2906</v>
      </c>
      <c r="S513">
        <v>5</v>
      </c>
      <c r="T513" s="2">
        <v>0.1</v>
      </c>
      <c r="U513" t="s">
        <v>2907</v>
      </c>
    </row>
    <row r="514" spans="1:21">
      <c r="A514">
        <v>304</v>
      </c>
      <c r="B514" t="s">
        <v>2908</v>
      </c>
      <c r="C514" s="1">
        <v>45500</v>
      </c>
      <c r="D514" s="1">
        <v>45503</v>
      </c>
      <c r="E514" t="s">
        <v>36</v>
      </c>
      <c r="F514" t="s">
        <v>2909</v>
      </c>
      <c r="G514" t="s">
        <v>909</v>
      </c>
      <c r="H514" t="s">
        <v>25</v>
      </c>
      <c r="I514" t="s">
        <v>26</v>
      </c>
      <c r="J514" t="s">
        <v>61</v>
      </c>
      <c r="K514" t="s">
        <v>61</v>
      </c>
      <c r="L514">
        <v>67608</v>
      </c>
      <c r="M514" t="s">
        <v>62</v>
      </c>
      <c r="N514" t="s">
        <v>2910</v>
      </c>
      <c r="O514" t="s">
        <v>30</v>
      </c>
      <c r="P514" t="s">
        <v>120</v>
      </c>
      <c r="Q514" t="s">
        <v>2911</v>
      </c>
      <c r="R514" t="s">
        <v>2912</v>
      </c>
      <c r="S514">
        <v>3</v>
      </c>
      <c r="T514" s="2">
        <v>0</v>
      </c>
      <c r="U514" t="s">
        <v>2913</v>
      </c>
    </row>
    <row r="515" spans="1:21">
      <c r="A515">
        <v>573</v>
      </c>
      <c r="B515" t="s">
        <v>2914</v>
      </c>
      <c r="C515" s="1">
        <v>45500</v>
      </c>
      <c r="D515" s="1">
        <v>45503</v>
      </c>
      <c r="E515" t="s">
        <v>382</v>
      </c>
      <c r="F515" t="s">
        <v>2915</v>
      </c>
      <c r="G515" t="s">
        <v>1685</v>
      </c>
      <c r="H515" t="s">
        <v>25</v>
      </c>
      <c r="I515" t="s">
        <v>26</v>
      </c>
      <c r="J515" t="s">
        <v>40</v>
      </c>
      <c r="K515" t="s">
        <v>40</v>
      </c>
      <c r="L515">
        <v>54732</v>
      </c>
      <c r="M515" t="s">
        <v>41</v>
      </c>
      <c r="N515" t="s">
        <v>2916</v>
      </c>
      <c r="O515" t="s">
        <v>43</v>
      </c>
      <c r="P515" t="s">
        <v>214</v>
      </c>
      <c r="Q515" t="s">
        <v>2917</v>
      </c>
      <c r="R515" t="s">
        <v>2918</v>
      </c>
      <c r="S515">
        <v>7</v>
      </c>
      <c r="T515" s="2">
        <v>0.05</v>
      </c>
      <c r="U515" t="s">
        <v>2919</v>
      </c>
    </row>
    <row r="516" spans="1:21">
      <c r="A516">
        <v>422</v>
      </c>
      <c r="B516" t="s">
        <v>2920</v>
      </c>
      <c r="C516" s="1">
        <v>45501</v>
      </c>
      <c r="D516" s="1">
        <v>45505</v>
      </c>
      <c r="E516" t="s">
        <v>36</v>
      </c>
      <c r="F516" t="s">
        <v>2921</v>
      </c>
      <c r="G516" t="s">
        <v>648</v>
      </c>
      <c r="H516" t="s">
        <v>60</v>
      </c>
      <c r="I516" t="s">
        <v>26</v>
      </c>
      <c r="J516" t="s">
        <v>260</v>
      </c>
      <c r="K516" t="s">
        <v>260</v>
      </c>
      <c r="L516">
        <v>27733</v>
      </c>
      <c r="M516" t="s">
        <v>41</v>
      </c>
      <c r="N516" t="s">
        <v>2922</v>
      </c>
      <c r="O516" t="s">
        <v>43</v>
      </c>
      <c r="P516" t="s">
        <v>44</v>
      </c>
      <c r="Q516" t="s">
        <v>877</v>
      </c>
      <c r="R516" t="s">
        <v>2923</v>
      </c>
      <c r="S516">
        <v>5</v>
      </c>
      <c r="T516" s="2">
        <v>0.05</v>
      </c>
      <c r="U516" t="s">
        <v>2924</v>
      </c>
    </row>
    <row r="517" spans="1:21">
      <c r="A517">
        <v>549</v>
      </c>
      <c r="B517" t="s">
        <v>2925</v>
      </c>
      <c r="C517" s="1">
        <v>45506</v>
      </c>
      <c r="D517" s="1">
        <v>45509</v>
      </c>
      <c r="E517" t="s">
        <v>22</v>
      </c>
      <c r="F517" t="s">
        <v>2926</v>
      </c>
      <c r="G517" t="s">
        <v>1025</v>
      </c>
      <c r="H517" t="s">
        <v>25</v>
      </c>
      <c r="I517" t="s">
        <v>26</v>
      </c>
      <c r="J517" t="s">
        <v>301</v>
      </c>
      <c r="K517" t="s">
        <v>301</v>
      </c>
      <c r="L517">
        <v>35651</v>
      </c>
      <c r="M517" t="s">
        <v>73</v>
      </c>
      <c r="N517" t="s">
        <v>701</v>
      </c>
      <c r="O517" t="s">
        <v>43</v>
      </c>
      <c r="P517" t="s">
        <v>83</v>
      </c>
      <c r="Q517" t="s">
        <v>1027</v>
      </c>
      <c r="R517" t="s">
        <v>2927</v>
      </c>
      <c r="S517">
        <v>6</v>
      </c>
      <c r="T517" s="2">
        <v>0.3</v>
      </c>
      <c r="U517" t="s">
        <v>2928</v>
      </c>
    </row>
    <row r="518" spans="1:21">
      <c r="A518">
        <v>57</v>
      </c>
      <c r="B518" t="s">
        <v>2929</v>
      </c>
      <c r="C518" s="1">
        <v>45508</v>
      </c>
      <c r="D518" s="1">
        <v>45510</v>
      </c>
      <c r="E518" t="s">
        <v>36</v>
      </c>
      <c r="F518" t="s">
        <v>2930</v>
      </c>
      <c r="G518" t="s">
        <v>451</v>
      </c>
      <c r="H518" t="s">
        <v>25</v>
      </c>
      <c r="I518" t="s">
        <v>26</v>
      </c>
      <c r="J518" t="s">
        <v>229</v>
      </c>
      <c r="K518" t="s">
        <v>229</v>
      </c>
      <c r="L518">
        <v>66373</v>
      </c>
      <c r="M518" t="s">
        <v>73</v>
      </c>
      <c r="N518" t="s">
        <v>2931</v>
      </c>
      <c r="O518" t="s">
        <v>43</v>
      </c>
      <c r="P518" t="s">
        <v>166</v>
      </c>
      <c r="Q518" t="s">
        <v>2330</v>
      </c>
      <c r="R518" t="s">
        <v>2932</v>
      </c>
      <c r="S518">
        <v>7</v>
      </c>
      <c r="T518" s="2">
        <v>0.5</v>
      </c>
      <c r="U518" t="s">
        <v>2933</v>
      </c>
    </row>
    <row r="519" spans="1:21">
      <c r="A519">
        <v>78</v>
      </c>
      <c r="B519" t="s">
        <v>2934</v>
      </c>
      <c r="C519" s="1">
        <v>45509</v>
      </c>
      <c r="D519" s="1">
        <v>45513</v>
      </c>
      <c r="E519" t="s">
        <v>36</v>
      </c>
      <c r="F519" t="s">
        <v>2935</v>
      </c>
      <c r="G519" t="s">
        <v>1087</v>
      </c>
      <c r="H519" t="s">
        <v>25</v>
      </c>
      <c r="I519" t="s">
        <v>26</v>
      </c>
      <c r="J519" t="s">
        <v>260</v>
      </c>
      <c r="K519" t="s">
        <v>260</v>
      </c>
      <c r="L519">
        <v>51846</v>
      </c>
      <c r="M519" t="s">
        <v>41</v>
      </c>
      <c r="N519" t="s">
        <v>2936</v>
      </c>
      <c r="O519" t="s">
        <v>30</v>
      </c>
      <c r="P519" t="s">
        <v>31</v>
      </c>
      <c r="Q519" t="s">
        <v>2013</v>
      </c>
      <c r="R519" t="s">
        <v>2937</v>
      </c>
      <c r="S519">
        <v>3</v>
      </c>
      <c r="T519" s="2">
        <v>0.15</v>
      </c>
      <c r="U519" t="s">
        <v>2938</v>
      </c>
    </row>
    <row r="520" spans="1:21">
      <c r="A520">
        <v>580</v>
      </c>
      <c r="B520" t="s">
        <v>2939</v>
      </c>
      <c r="C520" s="1">
        <v>45509</v>
      </c>
      <c r="D520" s="1">
        <v>45513</v>
      </c>
      <c r="E520" t="s">
        <v>49</v>
      </c>
      <c r="F520" t="s">
        <v>2940</v>
      </c>
      <c r="G520" t="s">
        <v>952</v>
      </c>
      <c r="H520" t="s">
        <v>25</v>
      </c>
      <c r="I520" t="s">
        <v>26</v>
      </c>
      <c r="J520" t="s">
        <v>61</v>
      </c>
      <c r="K520" t="s">
        <v>61</v>
      </c>
      <c r="L520">
        <v>59323</v>
      </c>
      <c r="M520" t="s">
        <v>62</v>
      </c>
      <c r="N520" t="s">
        <v>2941</v>
      </c>
      <c r="O520" t="s">
        <v>43</v>
      </c>
      <c r="P520" t="s">
        <v>44</v>
      </c>
      <c r="Q520" t="s">
        <v>317</v>
      </c>
      <c r="R520" t="s">
        <v>2942</v>
      </c>
      <c r="S520">
        <v>4</v>
      </c>
      <c r="T520" s="2">
        <v>0.05</v>
      </c>
      <c r="U520" t="s">
        <v>1506</v>
      </c>
    </row>
    <row r="521" spans="1:21">
      <c r="A521">
        <v>334</v>
      </c>
      <c r="B521" t="s">
        <v>2943</v>
      </c>
      <c r="C521" s="1">
        <v>45511</v>
      </c>
      <c r="D521" s="1">
        <v>45515</v>
      </c>
      <c r="E521" t="s">
        <v>36</v>
      </c>
      <c r="F521" t="s">
        <v>2944</v>
      </c>
      <c r="G521" t="s">
        <v>38</v>
      </c>
      <c r="H521" t="s">
        <v>60</v>
      </c>
      <c r="I521" t="s">
        <v>26</v>
      </c>
      <c r="J521" t="s">
        <v>204</v>
      </c>
      <c r="K521" t="s">
        <v>204</v>
      </c>
      <c r="L521">
        <v>21831</v>
      </c>
      <c r="M521" t="s">
        <v>28</v>
      </c>
      <c r="N521" t="s">
        <v>2945</v>
      </c>
      <c r="O521" t="s">
        <v>64</v>
      </c>
      <c r="P521" t="s">
        <v>65</v>
      </c>
      <c r="Q521" t="s">
        <v>2946</v>
      </c>
      <c r="R521" t="s">
        <v>2947</v>
      </c>
      <c r="S521">
        <v>2</v>
      </c>
      <c r="T521" s="2">
        <v>0.1</v>
      </c>
      <c r="U521" t="s">
        <v>2948</v>
      </c>
    </row>
    <row r="522" spans="1:21">
      <c r="A522">
        <v>10</v>
      </c>
      <c r="B522" t="s">
        <v>2949</v>
      </c>
      <c r="C522" s="1">
        <v>45513</v>
      </c>
      <c r="D522" s="1">
        <v>45514</v>
      </c>
      <c r="E522" t="s">
        <v>36</v>
      </c>
      <c r="F522" t="s">
        <v>2950</v>
      </c>
      <c r="G522" t="s">
        <v>1850</v>
      </c>
      <c r="H522" t="s">
        <v>25</v>
      </c>
      <c r="I522" t="s">
        <v>26</v>
      </c>
      <c r="J522" t="s">
        <v>173</v>
      </c>
      <c r="K522" t="s">
        <v>173</v>
      </c>
      <c r="L522">
        <v>62662</v>
      </c>
      <c r="M522" t="s">
        <v>73</v>
      </c>
      <c r="N522" t="s">
        <v>1266</v>
      </c>
      <c r="O522" t="s">
        <v>64</v>
      </c>
      <c r="P522" t="s">
        <v>105</v>
      </c>
      <c r="Q522" t="s">
        <v>2951</v>
      </c>
      <c r="R522" t="s">
        <v>2952</v>
      </c>
      <c r="S522">
        <v>6</v>
      </c>
      <c r="T522" s="2">
        <v>0</v>
      </c>
      <c r="U522" t="s">
        <v>2953</v>
      </c>
    </row>
    <row r="523" spans="1:21">
      <c r="A523">
        <v>449</v>
      </c>
      <c r="B523" t="s">
        <v>2954</v>
      </c>
      <c r="C523" s="1">
        <v>45516</v>
      </c>
      <c r="D523" s="1">
        <v>45521</v>
      </c>
      <c r="E523" t="s">
        <v>22</v>
      </c>
      <c r="F523" t="s">
        <v>2955</v>
      </c>
      <c r="G523" t="s">
        <v>24</v>
      </c>
      <c r="H523" t="s">
        <v>39</v>
      </c>
      <c r="I523" t="s">
        <v>26</v>
      </c>
      <c r="J523" t="s">
        <v>363</v>
      </c>
      <c r="K523" t="s">
        <v>363</v>
      </c>
      <c r="L523">
        <v>98220</v>
      </c>
      <c r="M523" t="s">
        <v>62</v>
      </c>
      <c r="N523" t="s">
        <v>2956</v>
      </c>
      <c r="O523" t="s">
        <v>30</v>
      </c>
      <c r="P523" t="s">
        <v>197</v>
      </c>
      <c r="Q523" t="s">
        <v>1020</v>
      </c>
      <c r="R523" t="s">
        <v>2957</v>
      </c>
      <c r="S523">
        <v>6</v>
      </c>
      <c r="T523" s="2">
        <v>0.15</v>
      </c>
      <c r="U523" t="s">
        <v>2958</v>
      </c>
    </row>
    <row r="524" spans="1:21">
      <c r="A524">
        <v>24</v>
      </c>
      <c r="B524" t="s">
        <v>2959</v>
      </c>
      <c r="C524" s="1">
        <v>45518</v>
      </c>
      <c r="D524" s="1">
        <v>45521</v>
      </c>
      <c r="E524" t="s">
        <v>22</v>
      </c>
      <c r="F524" t="s">
        <v>2960</v>
      </c>
      <c r="G524" t="s">
        <v>1657</v>
      </c>
      <c r="H524" t="s">
        <v>60</v>
      </c>
      <c r="I524" t="s">
        <v>26</v>
      </c>
      <c r="J524" t="s">
        <v>301</v>
      </c>
      <c r="K524" t="s">
        <v>301</v>
      </c>
      <c r="L524">
        <v>25305</v>
      </c>
      <c r="M524" t="s">
        <v>73</v>
      </c>
      <c r="N524" t="s">
        <v>2397</v>
      </c>
      <c r="O524" t="s">
        <v>43</v>
      </c>
      <c r="P524" t="s">
        <v>214</v>
      </c>
      <c r="Q524" t="s">
        <v>893</v>
      </c>
      <c r="R524" t="s">
        <v>2961</v>
      </c>
      <c r="S524">
        <v>4</v>
      </c>
      <c r="T524" s="2">
        <v>0</v>
      </c>
      <c r="U524" t="s">
        <v>2962</v>
      </c>
    </row>
    <row r="525" spans="1:21">
      <c r="A525">
        <v>52</v>
      </c>
      <c r="B525" t="s">
        <v>2963</v>
      </c>
      <c r="C525" s="1">
        <v>45519</v>
      </c>
      <c r="D525" s="1">
        <v>45521</v>
      </c>
      <c r="E525" t="s">
        <v>36</v>
      </c>
      <c r="F525" t="s">
        <v>2964</v>
      </c>
      <c r="G525" t="s">
        <v>252</v>
      </c>
      <c r="H525" t="s">
        <v>39</v>
      </c>
      <c r="I525" t="s">
        <v>26</v>
      </c>
      <c r="J525" t="s">
        <v>301</v>
      </c>
      <c r="K525" t="s">
        <v>301</v>
      </c>
      <c r="L525">
        <v>54327</v>
      </c>
      <c r="M525" t="s">
        <v>73</v>
      </c>
      <c r="N525" t="s">
        <v>2965</v>
      </c>
      <c r="O525" t="s">
        <v>30</v>
      </c>
      <c r="P525" t="s">
        <v>120</v>
      </c>
      <c r="Q525" t="s">
        <v>144</v>
      </c>
      <c r="R525" t="s">
        <v>2966</v>
      </c>
      <c r="S525">
        <v>5</v>
      </c>
      <c r="T525" s="2">
        <v>0.2</v>
      </c>
      <c r="U525" t="s">
        <v>2967</v>
      </c>
    </row>
    <row r="526" spans="1:21">
      <c r="A526">
        <v>64</v>
      </c>
      <c r="B526" t="s">
        <v>2968</v>
      </c>
      <c r="C526" s="1">
        <v>45519</v>
      </c>
      <c r="D526" s="1">
        <v>45525</v>
      </c>
      <c r="E526" t="s">
        <v>36</v>
      </c>
      <c r="F526" t="s">
        <v>2969</v>
      </c>
      <c r="G526" t="s">
        <v>1496</v>
      </c>
      <c r="H526" t="s">
        <v>25</v>
      </c>
      <c r="I526" t="s">
        <v>26</v>
      </c>
      <c r="J526" t="s">
        <v>52</v>
      </c>
      <c r="K526" t="s">
        <v>52</v>
      </c>
      <c r="L526">
        <v>85186</v>
      </c>
      <c r="M526" t="s">
        <v>41</v>
      </c>
      <c r="N526" t="s">
        <v>2970</v>
      </c>
      <c r="O526" t="s">
        <v>43</v>
      </c>
      <c r="P526" t="s">
        <v>128</v>
      </c>
      <c r="Q526" t="s">
        <v>1795</v>
      </c>
      <c r="R526" t="s">
        <v>2971</v>
      </c>
      <c r="S526">
        <v>1</v>
      </c>
      <c r="T526" s="2">
        <v>0.05</v>
      </c>
      <c r="U526" t="s">
        <v>2972</v>
      </c>
    </row>
    <row r="527" spans="1:21">
      <c r="A527">
        <v>532</v>
      </c>
      <c r="B527" t="s">
        <v>2973</v>
      </c>
      <c r="C527" s="1">
        <v>45521</v>
      </c>
      <c r="D527" s="1">
        <v>45526</v>
      </c>
      <c r="E527" t="s">
        <v>49</v>
      </c>
      <c r="F527" t="s">
        <v>2974</v>
      </c>
      <c r="G527" t="s">
        <v>939</v>
      </c>
      <c r="H527" t="s">
        <v>39</v>
      </c>
      <c r="I527" t="s">
        <v>26</v>
      </c>
      <c r="J527" t="s">
        <v>96</v>
      </c>
      <c r="K527" t="s">
        <v>96</v>
      </c>
      <c r="L527">
        <v>24026</v>
      </c>
      <c r="M527" t="s">
        <v>28</v>
      </c>
      <c r="N527" t="s">
        <v>1944</v>
      </c>
      <c r="O527" t="s">
        <v>30</v>
      </c>
      <c r="P527" t="s">
        <v>222</v>
      </c>
      <c r="Q527" t="s">
        <v>288</v>
      </c>
      <c r="R527" t="s">
        <v>2975</v>
      </c>
      <c r="S527">
        <v>7</v>
      </c>
      <c r="T527" s="2">
        <v>0</v>
      </c>
      <c r="U527" t="s">
        <v>2976</v>
      </c>
    </row>
    <row r="528" spans="1:21">
      <c r="A528">
        <v>98</v>
      </c>
      <c r="B528" t="s">
        <v>2977</v>
      </c>
      <c r="C528" s="1">
        <v>45525</v>
      </c>
      <c r="D528" s="1">
        <v>45527</v>
      </c>
      <c r="E528" t="s">
        <v>36</v>
      </c>
      <c r="F528" t="s">
        <v>2978</v>
      </c>
      <c r="G528" t="s">
        <v>719</v>
      </c>
      <c r="H528" t="s">
        <v>39</v>
      </c>
      <c r="I528" t="s">
        <v>26</v>
      </c>
      <c r="J528" t="s">
        <v>204</v>
      </c>
      <c r="K528" t="s">
        <v>204</v>
      </c>
      <c r="L528">
        <v>54139</v>
      </c>
      <c r="M528" t="s">
        <v>28</v>
      </c>
      <c r="N528" t="s">
        <v>2077</v>
      </c>
      <c r="O528" t="s">
        <v>43</v>
      </c>
      <c r="P528" t="s">
        <v>44</v>
      </c>
      <c r="Q528" t="s">
        <v>2979</v>
      </c>
      <c r="R528" t="s">
        <v>2980</v>
      </c>
      <c r="S528">
        <v>4</v>
      </c>
      <c r="T528" s="2">
        <v>0.3</v>
      </c>
      <c r="U528" t="s">
        <v>2981</v>
      </c>
    </row>
    <row r="529" spans="1:21">
      <c r="A529">
        <v>267</v>
      </c>
      <c r="B529" t="s">
        <v>2982</v>
      </c>
      <c r="C529" s="1">
        <v>45526</v>
      </c>
      <c r="D529" s="1">
        <v>45530</v>
      </c>
      <c r="E529" t="s">
        <v>49</v>
      </c>
      <c r="F529" t="s">
        <v>2983</v>
      </c>
      <c r="G529" t="s">
        <v>134</v>
      </c>
      <c r="H529" t="s">
        <v>25</v>
      </c>
      <c r="I529" t="s">
        <v>26</v>
      </c>
      <c r="J529" t="s">
        <v>438</v>
      </c>
      <c r="K529" t="s">
        <v>438</v>
      </c>
      <c r="L529">
        <v>16638</v>
      </c>
      <c r="M529" t="s">
        <v>28</v>
      </c>
      <c r="N529" t="s">
        <v>758</v>
      </c>
      <c r="O529" t="s">
        <v>30</v>
      </c>
      <c r="P529" t="s">
        <v>222</v>
      </c>
      <c r="Q529" t="s">
        <v>2984</v>
      </c>
      <c r="R529" t="s">
        <v>2985</v>
      </c>
      <c r="S529">
        <v>6</v>
      </c>
      <c r="T529" s="2">
        <v>0</v>
      </c>
      <c r="U529" t="s">
        <v>2986</v>
      </c>
    </row>
    <row r="530" spans="1:21">
      <c r="A530">
        <v>300</v>
      </c>
      <c r="B530" t="s">
        <v>2987</v>
      </c>
      <c r="C530" s="1">
        <v>45528</v>
      </c>
      <c r="D530" s="1">
        <v>45531</v>
      </c>
      <c r="E530" t="s">
        <v>36</v>
      </c>
      <c r="F530" t="s">
        <v>2988</v>
      </c>
      <c r="G530" t="s">
        <v>945</v>
      </c>
      <c r="H530" t="s">
        <v>39</v>
      </c>
      <c r="I530" t="s">
        <v>26</v>
      </c>
      <c r="J530" t="s">
        <v>301</v>
      </c>
      <c r="K530" t="s">
        <v>301</v>
      </c>
      <c r="L530">
        <v>18802</v>
      </c>
      <c r="M530" t="s">
        <v>73</v>
      </c>
      <c r="N530" t="s">
        <v>2989</v>
      </c>
      <c r="O530" t="s">
        <v>64</v>
      </c>
      <c r="P530" t="s">
        <v>136</v>
      </c>
      <c r="Q530" t="s">
        <v>2619</v>
      </c>
      <c r="R530" t="s">
        <v>2990</v>
      </c>
      <c r="S530">
        <v>5</v>
      </c>
      <c r="T530" s="2">
        <v>0.5</v>
      </c>
      <c r="U530" t="s">
        <v>2991</v>
      </c>
    </row>
    <row r="531" spans="1:21">
      <c r="A531">
        <v>591</v>
      </c>
      <c r="B531" t="s">
        <v>2992</v>
      </c>
      <c r="C531" s="1">
        <v>45528</v>
      </c>
      <c r="D531" s="1">
        <v>45530</v>
      </c>
      <c r="E531" t="s">
        <v>36</v>
      </c>
      <c r="F531" t="s">
        <v>2993</v>
      </c>
      <c r="G531" t="s">
        <v>994</v>
      </c>
      <c r="H531" t="s">
        <v>25</v>
      </c>
      <c r="I531" t="s">
        <v>26</v>
      </c>
      <c r="J531" t="s">
        <v>96</v>
      </c>
      <c r="K531" t="s">
        <v>96</v>
      </c>
      <c r="L531">
        <v>70287</v>
      </c>
      <c r="M531" t="s">
        <v>28</v>
      </c>
      <c r="N531" t="s">
        <v>2994</v>
      </c>
      <c r="O531" t="s">
        <v>43</v>
      </c>
      <c r="P531" t="s">
        <v>166</v>
      </c>
      <c r="Q531" t="s">
        <v>2810</v>
      </c>
      <c r="R531" t="s">
        <v>2995</v>
      </c>
      <c r="S531">
        <v>3</v>
      </c>
      <c r="T531" s="2">
        <v>0.1</v>
      </c>
      <c r="U531" t="s">
        <v>2996</v>
      </c>
    </row>
    <row r="532" spans="1:21">
      <c r="A532">
        <v>440</v>
      </c>
      <c r="B532" t="s">
        <v>2997</v>
      </c>
      <c r="C532" s="1">
        <v>45530</v>
      </c>
      <c r="D532" s="1">
        <v>45533</v>
      </c>
      <c r="E532" t="s">
        <v>49</v>
      </c>
      <c r="F532" t="s">
        <v>2998</v>
      </c>
      <c r="G532" t="s">
        <v>362</v>
      </c>
      <c r="H532" t="s">
        <v>60</v>
      </c>
      <c r="I532" t="s">
        <v>26</v>
      </c>
      <c r="J532" t="s">
        <v>301</v>
      </c>
      <c r="K532" t="s">
        <v>301</v>
      </c>
      <c r="L532">
        <v>35705</v>
      </c>
      <c r="M532" t="s">
        <v>73</v>
      </c>
      <c r="N532" t="s">
        <v>2999</v>
      </c>
      <c r="O532" t="s">
        <v>30</v>
      </c>
      <c r="P532" t="s">
        <v>197</v>
      </c>
      <c r="Q532" t="s">
        <v>1504</v>
      </c>
      <c r="R532" t="s">
        <v>3000</v>
      </c>
      <c r="S532">
        <v>3</v>
      </c>
      <c r="T532" s="2">
        <v>0.3</v>
      </c>
      <c r="U532" t="s">
        <v>3001</v>
      </c>
    </row>
    <row r="533" spans="1:21">
      <c r="A533">
        <v>74</v>
      </c>
      <c r="B533" t="s">
        <v>3002</v>
      </c>
      <c r="C533" s="1">
        <v>45534</v>
      </c>
      <c r="D533" s="1">
        <v>45539</v>
      </c>
      <c r="E533" t="s">
        <v>49</v>
      </c>
      <c r="F533" t="s">
        <v>3003</v>
      </c>
      <c r="G533" t="s">
        <v>683</v>
      </c>
      <c r="H533" t="s">
        <v>39</v>
      </c>
      <c r="I533" t="s">
        <v>26</v>
      </c>
      <c r="J533" t="s">
        <v>204</v>
      </c>
      <c r="K533" t="s">
        <v>204</v>
      </c>
      <c r="L533">
        <v>75082</v>
      </c>
      <c r="M533" t="s">
        <v>28</v>
      </c>
      <c r="N533" t="s">
        <v>2278</v>
      </c>
      <c r="O533" t="s">
        <v>64</v>
      </c>
      <c r="P533" t="s">
        <v>136</v>
      </c>
      <c r="Q533" t="s">
        <v>2216</v>
      </c>
      <c r="R533" t="s">
        <v>3004</v>
      </c>
      <c r="S533">
        <v>3</v>
      </c>
      <c r="T533" s="2">
        <v>0.3</v>
      </c>
      <c r="U533" t="s">
        <v>3005</v>
      </c>
    </row>
    <row r="534" spans="1:21">
      <c r="A534">
        <v>97</v>
      </c>
      <c r="B534" t="s">
        <v>3006</v>
      </c>
      <c r="C534" s="1">
        <v>45536</v>
      </c>
      <c r="D534" s="1">
        <v>45539</v>
      </c>
      <c r="E534" t="s">
        <v>49</v>
      </c>
      <c r="F534" t="s">
        <v>3007</v>
      </c>
      <c r="G534" t="s">
        <v>648</v>
      </c>
      <c r="H534" t="s">
        <v>39</v>
      </c>
      <c r="I534" t="s">
        <v>26</v>
      </c>
      <c r="J534" t="s">
        <v>260</v>
      </c>
      <c r="K534" t="s">
        <v>260</v>
      </c>
      <c r="L534">
        <v>56881</v>
      </c>
      <c r="M534" t="s">
        <v>41</v>
      </c>
      <c r="N534" t="s">
        <v>3008</v>
      </c>
      <c r="O534" t="s">
        <v>43</v>
      </c>
      <c r="P534" t="s">
        <v>189</v>
      </c>
      <c r="Q534" t="s">
        <v>1327</v>
      </c>
      <c r="R534" t="s">
        <v>3009</v>
      </c>
      <c r="S534">
        <v>7</v>
      </c>
      <c r="T534" s="2">
        <v>0.05</v>
      </c>
      <c r="U534" t="s">
        <v>3010</v>
      </c>
    </row>
    <row r="535" spans="1:21">
      <c r="A535">
        <v>66</v>
      </c>
      <c r="B535" t="s">
        <v>3011</v>
      </c>
      <c r="C535" s="1">
        <v>45537</v>
      </c>
      <c r="D535" s="1">
        <v>45542</v>
      </c>
      <c r="E535" t="s">
        <v>382</v>
      </c>
      <c r="F535" t="s">
        <v>3012</v>
      </c>
      <c r="G535" t="s">
        <v>594</v>
      </c>
      <c r="H535" t="s">
        <v>25</v>
      </c>
      <c r="I535" t="s">
        <v>26</v>
      </c>
      <c r="J535" t="s">
        <v>150</v>
      </c>
      <c r="K535" t="s">
        <v>150</v>
      </c>
      <c r="L535">
        <v>92310</v>
      </c>
      <c r="M535" t="s">
        <v>73</v>
      </c>
      <c r="N535" t="s">
        <v>1532</v>
      </c>
      <c r="O535" t="s">
        <v>64</v>
      </c>
      <c r="P535" t="s">
        <v>105</v>
      </c>
      <c r="Q535" t="s">
        <v>3013</v>
      </c>
      <c r="R535" t="s">
        <v>3014</v>
      </c>
      <c r="S535">
        <v>1</v>
      </c>
      <c r="T535" s="2">
        <v>0.05</v>
      </c>
      <c r="U535" t="s">
        <v>3015</v>
      </c>
    </row>
    <row r="536" spans="1:21">
      <c r="A536">
        <v>461</v>
      </c>
      <c r="B536" t="s">
        <v>3016</v>
      </c>
      <c r="C536" s="1">
        <v>45542</v>
      </c>
      <c r="D536" s="1">
        <v>45545</v>
      </c>
      <c r="E536" t="s">
        <v>22</v>
      </c>
      <c r="F536" t="s">
        <v>3017</v>
      </c>
      <c r="G536" t="s">
        <v>1044</v>
      </c>
      <c r="H536" t="s">
        <v>60</v>
      </c>
      <c r="I536" t="s">
        <v>26</v>
      </c>
      <c r="J536" t="s">
        <v>96</v>
      </c>
      <c r="K536" t="s">
        <v>96</v>
      </c>
      <c r="L536">
        <v>21254</v>
      </c>
      <c r="M536" t="s">
        <v>28</v>
      </c>
      <c r="N536" t="s">
        <v>3018</v>
      </c>
      <c r="O536" t="s">
        <v>43</v>
      </c>
      <c r="P536" t="s">
        <v>83</v>
      </c>
      <c r="Q536" t="s">
        <v>1065</v>
      </c>
      <c r="R536" t="s">
        <v>1173</v>
      </c>
      <c r="S536">
        <v>5</v>
      </c>
      <c r="T536" s="2">
        <v>0.2</v>
      </c>
      <c r="U536" t="s">
        <v>3019</v>
      </c>
    </row>
    <row r="537" spans="1:21">
      <c r="A537">
        <v>450</v>
      </c>
      <c r="B537" t="s">
        <v>3020</v>
      </c>
      <c r="C537" s="1">
        <v>45546</v>
      </c>
      <c r="D537" s="1">
        <v>45549</v>
      </c>
      <c r="E537" t="s">
        <v>49</v>
      </c>
      <c r="F537" t="s">
        <v>3021</v>
      </c>
      <c r="G537" t="s">
        <v>1212</v>
      </c>
      <c r="H537" t="s">
        <v>25</v>
      </c>
      <c r="I537" t="s">
        <v>26</v>
      </c>
      <c r="J537" t="s">
        <v>438</v>
      </c>
      <c r="K537" t="s">
        <v>438</v>
      </c>
      <c r="L537">
        <v>15295</v>
      </c>
      <c r="M537" t="s">
        <v>28</v>
      </c>
      <c r="N537" t="s">
        <v>1088</v>
      </c>
      <c r="O537" t="s">
        <v>30</v>
      </c>
      <c r="P537" t="s">
        <v>197</v>
      </c>
      <c r="Q537" t="s">
        <v>806</v>
      </c>
      <c r="R537" t="s">
        <v>3022</v>
      </c>
      <c r="S537">
        <v>7</v>
      </c>
      <c r="T537" s="2">
        <v>0</v>
      </c>
      <c r="U537" t="s">
        <v>3023</v>
      </c>
    </row>
    <row r="538" spans="1:21">
      <c r="A538">
        <v>129</v>
      </c>
      <c r="B538" t="s">
        <v>3024</v>
      </c>
      <c r="C538" s="1">
        <v>45546</v>
      </c>
      <c r="D538" s="1">
        <v>45552</v>
      </c>
      <c r="E538" t="s">
        <v>36</v>
      </c>
      <c r="F538" t="s">
        <v>3025</v>
      </c>
      <c r="G538" t="s">
        <v>1572</v>
      </c>
      <c r="H538" t="s">
        <v>25</v>
      </c>
      <c r="I538" t="s">
        <v>26</v>
      </c>
      <c r="J538" t="s">
        <v>157</v>
      </c>
      <c r="K538" t="s">
        <v>157</v>
      </c>
      <c r="L538">
        <v>51800</v>
      </c>
      <c r="M538" t="s">
        <v>62</v>
      </c>
      <c r="N538" t="s">
        <v>3026</v>
      </c>
      <c r="O538" t="s">
        <v>30</v>
      </c>
      <c r="P538" t="s">
        <v>197</v>
      </c>
      <c r="Q538" t="s">
        <v>1958</v>
      </c>
      <c r="R538" t="s">
        <v>3027</v>
      </c>
      <c r="S538">
        <v>6</v>
      </c>
      <c r="T538" s="2">
        <v>0.15</v>
      </c>
      <c r="U538" t="s">
        <v>3028</v>
      </c>
    </row>
    <row r="539" spans="1:21">
      <c r="A539">
        <v>152</v>
      </c>
      <c r="B539" t="s">
        <v>3029</v>
      </c>
      <c r="C539" s="1">
        <v>45547</v>
      </c>
      <c r="D539" s="1">
        <v>45552</v>
      </c>
      <c r="E539" t="s">
        <v>49</v>
      </c>
      <c r="F539" t="s">
        <v>3030</v>
      </c>
      <c r="G539" t="s">
        <v>329</v>
      </c>
      <c r="H539" t="s">
        <v>39</v>
      </c>
      <c r="I539" t="s">
        <v>26</v>
      </c>
      <c r="J539" t="s">
        <v>641</v>
      </c>
      <c r="K539" t="s">
        <v>641</v>
      </c>
      <c r="L539">
        <v>72493</v>
      </c>
      <c r="M539" t="s">
        <v>62</v>
      </c>
      <c r="N539" t="s">
        <v>3031</v>
      </c>
      <c r="O539" t="s">
        <v>43</v>
      </c>
      <c r="P539" t="s">
        <v>214</v>
      </c>
      <c r="Q539" t="s">
        <v>563</v>
      </c>
      <c r="R539" t="s">
        <v>3032</v>
      </c>
      <c r="S539">
        <v>3</v>
      </c>
      <c r="T539" s="2">
        <v>0.15</v>
      </c>
      <c r="U539" t="s">
        <v>3033</v>
      </c>
    </row>
    <row r="540" spans="1:21">
      <c r="A540">
        <v>365</v>
      </c>
      <c r="B540" t="s">
        <v>3034</v>
      </c>
      <c r="C540" s="1">
        <v>45549</v>
      </c>
      <c r="D540" s="1">
        <v>45552</v>
      </c>
      <c r="E540" t="s">
        <v>36</v>
      </c>
      <c r="F540" t="s">
        <v>3035</v>
      </c>
      <c r="G540" t="s">
        <v>1997</v>
      </c>
      <c r="H540" t="s">
        <v>25</v>
      </c>
      <c r="I540" t="s">
        <v>26</v>
      </c>
      <c r="J540" t="s">
        <v>260</v>
      </c>
      <c r="K540" t="s">
        <v>260</v>
      </c>
      <c r="L540">
        <v>43332</v>
      </c>
      <c r="M540" t="s">
        <v>41</v>
      </c>
      <c r="N540" t="s">
        <v>3036</v>
      </c>
      <c r="O540" t="s">
        <v>43</v>
      </c>
      <c r="P540" t="s">
        <v>128</v>
      </c>
      <c r="Q540" t="s">
        <v>911</v>
      </c>
      <c r="R540" t="s">
        <v>3037</v>
      </c>
      <c r="S540">
        <v>2</v>
      </c>
      <c r="T540" s="2">
        <v>0.2</v>
      </c>
      <c r="U540" t="s">
        <v>3038</v>
      </c>
    </row>
    <row r="541" spans="1:21">
      <c r="A541">
        <v>456</v>
      </c>
      <c r="B541" t="s">
        <v>3039</v>
      </c>
      <c r="C541" s="1">
        <v>45549</v>
      </c>
      <c r="D541" s="1">
        <v>45550</v>
      </c>
      <c r="E541" t="s">
        <v>36</v>
      </c>
      <c r="F541" t="s">
        <v>3040</v>
      </c>
      <c r="G541" t="s">
        <v>445</v>
      </c>
      <c r="H541" t="s">
        <v>39</v>
      </c>
      <c r="I541" t="s">
        <v>26</v>
      </c>
      <c r="J541" t="s">
        <v>61</v>
      </c>
      <c r="K541" t="s">
        <v>61</v>
      </c>
      <c r="L541">
        <v>93346</v>
      </c>
      <c r="M541" t="s">
        <v>62</v>
      </c>
      <c r="N541" t="s">
        <v>569</v>
      </c>
      <c r="O541" t="s">
        <v>30</v>
      </c>
      <c r="P541" t="s">
        <v>197</v>
      </c>
      <c r="Q541" t="s">
        <v>2509</v>
      </c>
      <c r="R541" t="s">
        <v>3041</v>
      </c>
      <c r="S541">
        <v>4</v>
      </c>
      <c r="T541" s="2">
        <v>0.15</v>
      </c>
      <c r="U541" t="s">
        <v>3042</v>
      </c>
    </row>
    <row r="542" spans="1:21">
      <c r="A542">
        <v>261</v>
      </c>
      <c r="B542" t="s">
        <v>3043</v>
      </c>
      <c r="C542" s="1">
        <v>45550</v>
      </c>
      <c r="D542" s="1">
        <v>45556</v>
      </c>
      <c r="E542" t="s">
        <v>36</v>
      </c>
      <c r="F542" t="s">
        <v>3044</v>
      </c>
      <c r="G542" t="s">
        <v>909</v>
      </c>
      <c r="H542" t="s">
        <v>25</v>
      </c>
      <c r="I542" t="s">
        <v>26</v>
      </c>
      <c r="J542" t="s">
        <v>229</v>
      </c>
      <c r="K542" t="s">
        <v>229</v>
      </c>
      <c r="L542">
        <v>30666</v>
      </c>
      <c r="M542" t="s">
        <v>73</v>
      </c>
      <c r="N542" t="s">
        <v>3045</v>
      </c>
      <c r="O542" t="s">
        <v>64</v>
      </c>
      <c r="P542" t="s">
        <v>136</v>
      </c>
      <c r="Q542" t="s">
        <v>3046</v>
      </c>
      <c r="R542" t="s">
        <v>3047</v>
      </c>
      <c r="S542">
        <v>3</v>
      </c>
      <c r="T542" s="2">
        <v>0.15</v>
      </c>
      <c r="U542" t="s">
        <v>3048</v>
      </c>
    </row>
    <row r="543" spans="1:21">
      <c r="A543">
        <v>56</v>
      </c>
      <c r="B543" t="s">
        <v>3049</v>
      </c>
      <c r="C543" s="1">
        <v>45551</v>
      </c>
      <c r="D543" s="1">
        <v>45555</v>
      </c>
      <c r="E543" t="s">
        <v>36</v>
      </c>
      <c r="F543" t="s">
        <v>3050</v>
      </c>
      <c r="G543" t="s">
        <v>601</v>
      </c>
      <c r="H543" t="s">
        <v>25</v>
      </c>
      <c r="I543" t="s">
        <v>26</v>
      </c>
      <c r="J543" t="s">
        <v>237</v>
      </c>
      <c r="K543" t="s">
        <v>237</v>
      </c>
      <c r="L543">
        <v>36737</v>
      </c>
      <c r="M543" t="s">
        <v>41</v>
      </c>
      <c r="N543" t="s">
        <v>3051</v>
      </c>
      <c r="O543" t="s">
        <v>64</v>
      </c>
      <c r="P543" t="s">
        <v>136</v>
      </c>
      <c r="Q543" t="s">
        <v>310</v>
      </c>
      <c r="R543" t="s">
        <v>3052</v>
      </c>
      <c r="S543">
        <v>3</v>
      </c>
      <c r="T543" s="2">
        <v>0</v>
      </c>
      <c r="U543" t="s">
        <v>3053</v>
      </c>
    </row>
    <row r="544" spans="1:21">
      <c r="A544">
        <v>117</v>
      </c>
      <c r="B544" t="s">
        <v>3054</v>
      </c>
      <c r="C544" s="1">
        <v>45553</v>
      </c>
      <c r="D544" s="1">
        <v>45556</v>
      </c>
      <c r="E544" t="s">
        <v>382</v>
      </c>
      <c r="F544" t="s">
        <v>3055</v>
      </c>
      <c r="G544" t="s">
        <v>869</v>
      </c>
      <c r="H544" t="s">
        <v>25</v>
      </c>
      <c r="I544" t="s">
        <v>26</v>
      </c>
      <c r="J544" t="s">
        <v>229</v>
      </c>
      <c r="K544" t="s">
        <v>229</v>
      </c>
      <c r="L544">
        <v>44964</v>
      </c>
      <c r="M544" t="s">
        <v>73</v>
      </c>
      <c r="N544" t="s">
        <v>1712</v>
      </c>
      <c r="O544" t="s">
        <v>30</v>
      </c>
      <c r="P544" t="s">
        <v>120</v>
      </c>
      <c r="Q544" t="s">
        <v>576</v>
      </c>
      <c r="R544" t="s">
        <v>3056</v>
      </c>
      <c r="S544">
        <v>7</v>
      </c>
      <c r="T544" s="2">
        <v>0</v>
      </c>
      <c r="U544" t="s">
        <v>3057</v>
      </c>
    </row>
    <row r="545" spans="1:21">
      <c r="A545">
        <v>360</v>
      </c>
      <c r="B545" t="s">
        <v>3058</v>
      </c>
      <c r="C545" s="1">
        <v>45554</v>
      </c>
      <c r="D545" s="1">
        <v>45558</v>
      </c>
      <c r="E545" t="s">
        <v>49</v>
      </c>
      <c r="F545" t="s">
        <v>3059</v>
      </c>
      <c r="G545" t="s">
        <v>252</v>
      </c>
      <c r="H545" t="s">
        <v>25</v>
      </c>
      <c r="I545" t="s">
        <v>26</v>
      </c>
      <c r="J545" t="s">
        <v>245</v>
      </c>
      <c r="K545" t="s">
        <v>245</v>
      </c>
      <c r="L545">
        <v>22161</v>
      </c>
      <c r="M545" t="s">
        <v>41</v>
      </c>
      <c r="N545" t="s">
        <v>3060</v>
      </c>
      <c r="O545" t="s">
        <v>43</v>
      </c>
      <c r="P545" t="s">
        <v>128</v>
      </c>
      <c r="Q545" t="s">
        <v>3061</v>
      </c>
      <c r="R545" t="s">
        <v>3062</v>
      </c>
      <c r="S545">
        <v>7</v>
      </c>
      <c r="T545" s="2">
        <v>0</v>
      </c>
      <c r="U545" t="s">
        <v>3063</v>
      </c>
    </row>
    <row r="546" spans="1:21">
      <c r="A546">
        <v>22</v>
      </c>
      <c r="B546" t="s">
        <v>3064</v>
      </c>
      <c r="C546" s="1">
        <v>45558</v>
      </c>
      <c r="D546" s="1">
        <v>45560</v>
      </c>
      <c r="E546" t="s">
        <v>36</v>
      </c>
      <c r="F546" t="s">
        <v>3065</v>
      </c>
      <c r="G546" t="s">
        <v>2122</v>
      </c>
      <c r="H546" t="s">
        <v>25</v>
      </c>
      <c r="I546" t="s">
        <v>26</v>
      </c>
      <c r="J546" t="s">
        <v>301</v>
      </c>
      <c r="K546" t="s">
        <v>301</v>
      </c>
      <c r="L546">
        <v>36646</v>
      </c>
      <c r="M546" t="s">
        <v>73</v>
      </c>
      <c r="N546" t="s">
        <v>1583</v>
      </c>
      <c r="O546" t="s">
        <v>30</v>
      </c>
      <c r="P546" t="s">
        <v>31</v>
      </c>
      <c r="Q546" t="s">
        <v>386</v>
      </c>
      <c r="R546" t="s">
        <v>2971</v>
      </c>
      <c r="S546">
        <v>2</v>
      </c>
      <c r="T546" s="2">
        <v>0.3</v>
      </c>
      <c r="U546" t="s">
        <v>3066</v>
      </c>
    </row>
    <row r="547" spans="1:21">
      <c r="A547">
        <v>257</v>
      </c>
      <c r="B547" t="s">
        <v>3067</v>
      </c>
      <c r="C547" s="1">
        <v>45560</v>
      </c>
      <c r="D547" s="1">
        <v>45561</v>
      </c>
      <c r="E547" t="s">
        <v>49</v>
      </c>
      <c r="F547" t="s">
        <v>3068</v>
      </c>
      <c r="G547" t="s">
        <v>3069</v>
      </c>
      <c r="H547" t="s">
        <v>39</v>
      </c>
      <c r="I547" t="s">
        <v>26</v>
      </c>
      <c r="J547" t="s">
        <v>641</v>
      </c>
      <c r="K547" t="s">
        <v>641</v>
      </c>
      <c r="L547">
        <v>48724</v>
      </c>
      <c r="M547" t="s">
        <v>62</v>
      </c>
      <c r="N547" t="s">
        <v>74</v>
      </c>
      <c r="O547" t="s">
        <v>30</v>
      </c>
      <c r="P547" t="s">
        <v>222</v>
      </c>
      <c r="Q547" t="s">
        <v>3070</v>
      </c>
      <c r="R547" t="s">
        <v>3071</v>
      </c>
      <c r="S547">
        <v>6</v>
      </c>
      <c r="T547" s="2">
        <v>0.05</v>
      </c>
      <c r="U547" t="s">
        <v>3072</v>
      </c>
    </row>
    <row r="548" spans="1:21">
      <c r="A548">
        <v>134</v>
      </c>
      <c r="B548" t="s">
        <v>3073</v>
      </c>
      <c r="C548" s="1">
        <v>45562</v>
      </c>
      <c r="D548" s="1">
        <v>45565</v>
      </c>
      <c r="E548" t="s">
        <v>36</v>
      </c>
      <c r="F548" t="s">
        <v>3074</v>
      </c>
      <c r="G548" t="s">
        <v>1625</v>
      </c>
      <c r="H548" t="s">
        <v>39</v>
      </c>
      <c r="I548" t="s">
        <v>26</v>
      </c>
      <c r="J548" t="s">
        <v>96</v>
      </c>
      <c r="K548" t="s">
        <v>96</v>
      </c>
      <c r="L548">
        <v>89025</v>
      </c>
      <c r="M548" t="s">
        <v>28</v>
      </c>
      <c r="N548" t="s">
        <v>246</v>
      </c>
      <c r="O548" t="s">
        <v>64</v>
      </c>
      <c r="P548" t="s">
        <v>405</v>
      </c>
      <c r="Q548" t="s">
        <v>1039</v>
      </c>
      <c r="R548" t="s">
        <v>3075</v>
      </c>
      <c r="S548">
        <v>1</v>
      </c>
      <c r="T548" s="2">
        <v>0.1</v>
      </c>
      <c r="U548" t="s">
        <v>3076</v>
      </c>
    </row>
    <row r="549" spans="1:21">
      <c r="A549">
        <v>20</v>
      </c>
      <c r="B549" t="s">
        <v>3077</v>
      </c>
      <c r="C549" s="1">
        <v>45565</v>
      </c>
      <c r="D549" s="1">
        <v>45571</v>
      </c>
      <c r="E549" t="s">
        <v>36</v>
      </c>
      <c r="F549" t="s">
        <v>3078</v>
      </c>
      <c r="G549" t="s">
        <v>1446</v>
      </c>
      <c r="H549" t="s">
        <v>25</v>
      </c>
      <c r="I549" t="s">
        <v>26</v>
      </c>
      <c r="J549" t="s">
        <v>260</v>
      </c>
      <c r="K549" t="s">
        <v>260</v>
      </c>
      <c r="L549">
        <v>42217</v>
      </c>
      <c r="M549" t="s">
        <v>41</v>
      </c>
      <c r="N549" t="s">
        <v>3079</v>
      </c>
      <c r="O549" t="s">
        <v>30</v>
      </c>
      <c r="P549" t="s">
        <v>31</v>
      </c>
      <c r="Q549" t="s">
        <v>3080</v>
      </c>
      <c r="R549" t="s">
        <v>3081</v>
      </c>
      <c r="S549">
        <v>4</v>
      </c>
      <c r="T549" s="2">
        <v>0</v>
      </c>
      <c r="U549" t="s">
        <v>3082</v>
      </c>
    </row>
    <row r="550" spans="1:21">
      <c r="A550">
        <v>49</v>
      </c>
      <c r="B550" t="s">
        <v>3083</v>
      </c>
      <c r="C550" s="1">
        <v>45568</v>
      </c>
      <c r="D550" s="1">
        <v>45571</v>
      </c>
      <c r="E550" t="s">
        <v>36</v>
      </c>
      <c r="F550" t="s">
        <v>3084</v>
      </c>
      <c r="G550" t="s">
        <v>1025</v>
      </c>
      <c r="H550" t="s">
        <v>39</v>
      </c>
      <c r="I550" t="s">
        <v>26</v>
      </c>
      <c r="J550" t="s">
        <v>157</v>
      </c>
      <c r="K550" t="s">
        <v>157</v>
      </c>
      <c r="L550">
        <v>76656</v>
      </c>
      <c r="M550" t="s">
        <v>62</v>
      </c>
      <c r="N550" t="s">
        <v>3085</v>
      </c>
      <c r="O550" t="s">
        <v>30</v>
      </c>
      <c r="P550" t="s">
        <v>120</v>
      </c>
      <c r="Q550" t="s">
        <v>1112</v>
      </c>
      <c r="R550" t="s">
        <v>3086</v>
      </c>
      <c r="S550">
        <v>2</v>
      </c>
      <c r="T550" s="2">
        <v>0</v>
      </c>
      <c r="U550" t="s">
        <v>3087</v>
      </c>
    </row>
    <row r="551" spans="1:21">
      <c r="A551">
        <v>205</v>
      </c>
      <c r="B551" t="s">
        <v>3088</v>
      </c>
      <c r="C551" s="1">
        <v>45569</v>
      </c>
      <c r="D551" s="1">
        <v>45572</v>
      </c>
      <c r="E551" t="s">
        <v>49</v>
      </c>
      <c r="F551" t="s">
        <v>944</v>
      </c>
      <c r="G551" t="s">
        <v>80</v>
      </c>
      <c r="H551" t="s">
        <v>39</v>
      </c>
      <c r="I551" t="s">
        <v>26</v>
      </c>
      <c r="J551" t="s">
        <v>301</v>
      </c>
      <c r="K551" t="s">
        <v>301</v>
      </c>
      <c r="L551">
        <v>67620</v>
      </c>
      <c r="M551" t="s">
        <v>73</v>
      </c>
      <c r="N551" t="s">
        <v>3089</v>
      </c>
      <c r="O551" t="s">
        <v>30</v>
      </c>
      <c r="P551" t="s">
        <v>31</v>
      </c>
      <c r="Q551" t="s">
        <v>2568</v>
      </c>
      <c r="R551" t="s">
        <v>3090</v>
      </c>
      <c r="S551">
        <v>4</v>
      </c>
      <c r="T551" s="2">
        <v>0.1</v>
      </c>
      <c r="U551" t="s">
        <v>3091</v>
      </c>
    </row>
    <row r="552" spans="1:21">
      <c r="A552">
        <v>26</v>
      </c>
      <c r="B552" t="s">
        <v>3092</v>
      </c>
      <c r="C552" s="1">
        <v>45570</v>
      </c>
      <c r="D552" s="1">
        <v>45574</v>
      </c>
      <c r="E552" t="s">
        <v>36</v>
      </c>
      <c r="F552" t="s">
        <v>3093</v>
      </c>
      <c r="G552" t="s">
        <v>594</v>
      </c>
      <c r="H552" t="s">
        <v>60</v>
      </c>
      <c r="I552" t="s">
        <v>26</v>
      </c>
      <c r="J552" t="s">
        <v>212</v>
      </c>
      <c r="K552" t="s">
        <v>212</v>
      </c>
      <c r="L552">
        <v>76234</v>
      </c>
      <c r="M552" t="s">
        <v>28</v>
      </c>
      <c r="N552" t="s">
        <v>3094</v>
      </c>
      <c r="O552" t="s">
        <v>64</v>
      </c>
      <c r="P552" t="s">
        <v>105</v>
      </c>
      <c r="Q552" t="s">
        <v>3095</v>
      </c>
      <c r="R552" t="s">
        <v>3096</v>
      </c>
      <c r="S552">
        <v>3</v>
      </c>
      <c r="T552" s="2">
        <v>0</v>
      </c>
      <c r="U552" t="s">
        <v>3097</v>
      </c>
    </row>
    <row r="553" spans="1:21">
      <c r="A553">
        <v>333</v>
      </c>
      <c r="B553" t="s">
        <v>3098</v>
      </c>
      <c r="C553" s="1">
        <v>45570</v>
      </c>
      <c r="D553" s="1">
        <v>45576</v>
      </c>
      <c r="E553" t="s">
        <v>49</v>
      </c>
      <c r="F553" t="s">
        <v>3099</v>
      </c>
      <c r="G553" t="s">
        <v>683</v>
      </c>
      <c r="H553" t="s">
        <v>25</v>
      </c>
      <c r="I553" t="s">
        <v>26</v>
      </c>
      <c r="J553" t="s">
        <v>27</v>
      </c>
      <c r="K553" t="s">
        <v>27</v>
      </c>
      <c r="L553">
        <v>36331</v>
      </c>
      <c r="M553" t="s">
        <v>28</v>
      </c>
      <c r="N553" t="s">
        <v>1837</v>
      </c>
      <c r="O553" t="s">
        <v>30</v>
      </c>
      <c r="P553" t="s">
        <v>222</v>
      </c>
      <c r="Q553" t="s">
        <v>3100</v>
      </c>
      <c r="R553" t="s">
        <v>3101</v>
      </c>
      <c r="S553">
        <v>7</v>
      </c>
      <c r="T553" s="2">
        <v>0</v>
      </c>
      <c r="U553" t="s">
        <v>3102</v>
      </c>
    </row>
    <row r="554" spans="1:21">
      <c r="A554">
        <v>276</v>
      </c>
      <c r="B554" t="s">
        <v>3103</v>
      </c>
      <c r="C554" s="1">
        <v>45570</v>
      </c>
      <c r="D554" s="1">
        <v>45572</v>
      </c>
      <c r="E554" t="s">
        <v>36</v>
      </c>
      <c r="F554" t="s">
        <v>3104</v>
      </c>
      <c r="G554" t="s">
        <v>700</v>
      </c>
      <c r="H554" t="s">
        <v>39</v>
      </c>
      <c r="I554" t="s">
        <v>26</v>
      </c>
      <c r="J554" t="s">
        <v>641</v>
      </c>
      <c r="K554" t="s">
        <v>641</v>
      </c>
      <c r="L554">
        <v>20310</v>
      </c>
      <c r="M554" t="s">
        <v>62</v>
      </c>
      <c r="N554" t="s">
        <v>2970</v>
      </c>
      <c r="O554" t="s">
        <v>30</v>
      </c>
      <c r="P554" t="s">
        <v>120</v>
      </c>
      <c r="Q554" t="s">
        <v>899</v>
      </c>
      <c r="R554" t="s">
        <v>3105</v>
      </c>
      <c r="S554">
        <v>4</v>
      </c>
      <c r="T554" s="2">
        <v>0.1</v>
      </c>
      <c r="U554" t="s">
        <v>3106</v>
      </c>
    </row>
    <row r="555" spans="1:21">
      <c r="A555">
        <v>460</v>
      </c>
      <c r="B555" t="s">
        <v>3107</v>
      </c>
      <c r="C555" s="1">
        <v>45571</v>
      </c>
      <c r="D555" s="1">
        <v>45577</v>
      </c>
      <c r="E555" t="s">
        <v>36</v>
      </c>
      <c r="F555" t="s">
        <v>3108</v>
      </c>
      <c r="G555" t="s">
        <v>1087</v>
      </c>
      <c r="H555" t="s">
        <v>39</v>
      </c>
      <c r="I555" t="s">
        <v>26</v>
      </c>
      <c r="J555" t="s">
        <v>245</v>
      </c>
      <c r="K555" t="s">
        <v>245</v>
      </c>
      <c r="L555">
        <v>27157</v>
      </c>
      <c r="M555" t="s">
        <v>41</v>
      </c>
      <c r="N555" t="s">
        <v>2157</v>
      </c>
      <c r="O555" t="s">
        <v>64</v>
      </c>
      <c r="P555" t="s">
        <v>105</v>
      </c>
      <c r="Q555" t="s">
        <v>549</v>
      </c>
      <c r="R555" t="s">
        <v>3109</v>
      </c>
      <c r="S555">
        <v>7</v>
      </c>
      <c r="T555" s="2">
        <v>0.1</v>
      </c>
      <c r="U555" t="s">
        <v>3110</v>
      </c>
    </row>
    <row r="556" spans="1:21">
      <c r="A556">
        <v>8</v>
      </c>
      <c r="B556" t="s">
        <v>3111</v>
      </c>
      <c r="C556" s="1">
        <v>45574</v>
      </c>
      <c r="D556" s="1">
        <v>45579</v>
      </c>
      <c r="E556" t="s">
        <v>36</v>
      </c>
      <c r="F556" t="s">
        <v>3112</v>
      </c>
      <c r="G556" t="s">
        <v>945</v>
      </c>
      <c r="H556" t="s">
        <v>60</v>
      </c>
      <c r="I556" t="s">
        <v>26</v>
      </c>
      <c r="J556" t="s">
        <v>204</v>
      </c>
      <c r="K556" t="s">
        <v>204</v>
      </c>
      <c r="L556">
        <v>65016</v>
      </c>
      <c r="M556" t="s">
        <v>28</v>
      </c>
      <c r="N556" t="s">
        <v>3113</v>
      </c>
      <c r="O556" t="s">
        <v>30</v>
      </c>
      <c r="P556" t="s">
        <v>120</v>
      </c>
      <c r="Q556" t="s">
        <v>3114</v>
      </c>
      <c r="R556" t="s">
        <v>3115</v>
      </c>
      <c r="S556">
        <v>1</v>
      </c>
      <c r="T556" s="2">
        <v>0.1</v>
      </c>
      <c r="U556" t="s">
        <v>3116</v>
      </c>
    </row>
    <row r="557" spans="1:21">
      <c r="A557">
        <v>132</v>
      </c>
      <c r="B557" t="s">
        <v>3117</v>
      </c>
      <c r="C557" s="1">
        <v>45576</v>
      </c>
      <c r="D557" s="1">
        <v>45579</v>
      </c>
      <c r="E557" t="s">
        <v>36</v>
      </c>
      <c r="F557" t="s">
        <v>3118</v>
      </c>
      <c r="G557" t="s">
        <v>211</v>
      </c>
      <c r="H557" t="s">
        <v>25</v>
      </c>
      <c r="I557" t="s">
        <v>26</v>
      </c>
      <c r="J557" t="s">
        <v>438</v>
      </c>
      <c r="K557" t="s">
        <v>438</v>
      </c>
      <c r="L557">
        <v>78673</v>
      </c>
      <c r="M557" t="s">
        <v>28</v>
      </c>
      <c r="N557" t="s">
        <v>3119</v>
      </c>
      <c r="O557" t="s">
        <v>30</v>
      </c>
      <c r="P557" t="s">
        <v>197</v>
      </c>
      <c r="Q557" t="s">
        <v>2896</v>
      </c>
      <c r="R557" t="s">
        <v>3120</v>
      </c>
      <c r="S557">
        <v>1</v>
      </c>
      <c r="T557" s="2">
        <v>0.15</v>
      </c>
      <c r="U557" t="s">
        <v>3121</v>
      </c>
    </row>
    <row r="558" spans="1:21">
      <c r="A558">
        <v>180</v>
      </c>
      <c r="B558" t="s">
        <v>3122</v>
      </c>
      <c r="C558" s="1">
        <v>45578</v>
      </c>
      <c r="D558" s="1">
        <v>45580</v>
      </c>
      <c r="E558" t="s">
        <v>36</v>
      </c>
      <c r="F558" t="s">
        <v>3123</v>
      </c>
      <c r="G558" t="s">
        <v>541</v>
      </c>
      <c r="H558" t="s">
        <v>25</v>
      </c>
      <c r="I558" t="s">
        <v>26</v>
      </c>
      <c r="J558" t="s">
        <v>229</v>
      </c>
      <c r="K558" t="s">
        <v>229</v>
      </c>
      <c r="L558">
        <v>24122</v>
      </c>
      <c r="M558" t="s">
        <v>73</v>
      </c>
      <c r="N558" t="s">
        <v>776</v>
      </c>
      <c r="O558" t="s">
        <v>43</v>
      </c>
      <c r="P558" t="s">
        <v>166</v>
      </c>
      <c r="Q558" t="s">
        <v>167</v>
      </c>
      <c r="R558" t="s">
        <v>3124</v>
      </c>
      <c r="S558">
        <v>4</v>
      </c>
      <c r="T558" s="2">
        <v>0.3</v>
      </c>
      <c r="U558" t="s">
        <v>3125</v>
      </c>
    </row>
    <row r="559" spans="1:21">
      <c r="A559">
        <v>561</v>
      </c>
      <c r="B559" t="s">
        <v>3126</v>
      </c>
      <c r="C559" s="1">
        <v>45579</v>
      </c>
      <c r="D559" s="1">
        <v>45581</v>
      </c>
      <c r="E559" t="s">
        <v>36</v>
      </c>
      <c r="F559" t="s">
        <v>3127</v>
      </c>
      <c r="G559" t="s">
        <v>80</v>
      </c>
      <c r="H559" t="s">
        <v>25</v>
      </c>
      <c r="I559" t="s">
        <v>26</v>
      </c>
      <c r="J559" t="s">
        <v>173</v>
      </c>
      <c r="K559" t="s">
        <v>173</v>
      </c>
      <c r="L559">
        <v>98365</v>
      </c>
      <c r="M559" t="s">
        <v>73</v>
      </c>
      <c r="N559" t="s">
        <v>3128</v>
      </c>
      <c r="O559" t="s">
        <v>30</v>
      </c>
      <c r="P559" t="s">
        <v>197</v>
      </c>
      <c r="Q559" t="s">
        <v>198</v>
      </c>
      <c r="R559" t="s">
        <v>3129</v>
      </c>
      <c r="S559">
        <v>5</v>
      </c>
      <c r="T559" s="2">
        <v>0.2</v>
      </c>
      <c r="U559" t="s">
        <v>3130</v>
      </c>
    </row>
    <row r="560" spans="1:21">
      <c r="A560">
        <v>393</v>
      </c>
      <c r="B560" t="s">
        <v>3131</v>
      </c>
      <c r="C560" s="1">
        <v>45579</v>
      </c>
      <c r="D560" s="1">
        <v>45581</v>
      </c>
      <c r="E560" t="s">
        <v>36</v>
      </c>
      <c r="F560" t="s">
        <v>3132</v>
      </c>
      <c r="G560" t="s">
        <v>1265</v>
      </c>
      <c r="H560" t="s">
        <v>39</v>
      </c>
      <c r="I560" t="s">
        <v>26</v>
      </c>
      <c r="J560" t="s">
        <v>61</v>
      </c>
      <c r="K560" t="s">
        <v>61</v>
      </c>
      <c r="L560">
        <v>58037</v>
      </c>
      <c r="M560" t="s">
        <v>62</v>
      </c>
      <c r="N560" t="s">
        <v>3113</v>
      </c>
      <c r="O560" t="s">
        <v>43</v>
      </c>
      <c r="P560" t="s">
        <v>214</v>
      </c>
      <c r="Q560" t="s">
        <v>2847</v>
      </c>
      <c r="R560" t="s">
        <v>3133</v>
      </c>
      <c r="S560">
        <v>6</v>
      </c>
      <c r="T560" s="2">
        <v>0.15</v>
      </c>
      <c r="U560" t="s">
        <v>3134</v>
      </c>
    </row>
    <row r="561" spans="1:21">
      <c r="A561">
        <v>197</v>
      </c>
      <c r="B561" t="s">
        <v>3135</v>
      </c>
      <c r="C561" s="1">
        <v>45580</v>
      </c>
      <c r="D561" s="1">
        <v>45583</v>
      </c>
      <c r="E561" t="s">
        <v>49</v>
      </c>
      <c r="F561" t="s">
        <v>3136</v>
      </c>
      <c r="G561" t="s">
        <v>1276</v>
      </c>
      <c r="H561" t="s">
        <v>25</v>
      </c>
      <c r="I561" t="s">
        <v>26</v>
      </c>
      <c r="J561" t="s">
        <v>81</v>
      </c>
      <c r="K561" t="s">
        <v>81</v>
      </c>
      <c r="L561">
        <v>26193</v>
      </c>
      <c r="M561" t="s">
        <v>62</v>
      </c>
      <c r="N561" t="s">
        <v>2421</v>
      </c>
      <c r="O561" t="s">
        <v>43</v>
      </c>
      <c r="P561" t="s">
        <v>128</v>
      </c>
      <c r="Q561" t="s">
        <v>1078</v>
      </c>
      <c r="R561" t="s">
        <v>3137</v>
      </c>
      <c r="S561">
        <v>7</v>
      </c>
      <c r="T561" s="2">
        <v>0.05</v>
      </c>
      <c r="U561" t="s">
        <v>3138</v>
      </c>
    </row>
    <row r="562" spans="1:21">
      <c r="A562">
        <v>38</v>
      </c>
      <c r="B562" t="s">
        <v>3139</v>
      </c>
      <c r="C562" s="1">
        <v>45581</v>
      </c>
      <c r="D562" s="1">
        <v>45583</v>
      </c>
      <c r="E562" t="s">
        <v>36</v>
      </c>
      <c r="F562" t="s">
        <v>3140</v>
      </c>
      <c r="G562" t="s">
        <v>187</v>
      </c>
      <c r="H562" t="s">
        <v>39</v>
      </c>
      <c r="I562" t="s">
        <v>26</v>
      </c>
      <c r="J562" t="s">
        <v>61</v>
      </c>
      <c r="K562" t="s">
        <v>61</v>
      </c>
      <c r="L562">
        <v>46586</v>
      </c>
      <c r="M562" t="s">
        <v>62</v>
      </c>
      <c r="N562" t="s">
        <v>3141</v>
      </c>
      <c r="O562" t="s">
        <v>64</v>
      </c>
      <c r="P562" t="s">
        <v>65</v>
      </c>
      <c r="Q562" t="s">
        <v>3142</v>
      </c>
      <c r="R562" t="s">
        <v>3143</v>
      </c>
      <c r="S562">
        <v>4</v>
      </c>
      <c r="T562" s="2">
        <v>0</v>
      </c>
      <c r="U562" t="s">
        <v>3144</v>
      </c>
    </row>
    <row r="563" spans="1:21">
      <c r="A563">
        <v>237</v>
      </c>
      <c r="B563" t="s">
        <v>3145</v>
      </c>
      <c r="C563" s="1">
        <v>45586</v>
      </c>
      <c r="D563" s="1">
        <v>45590</v>
      </c>
      <c r="E563" t="s">
        <v>36</v>
      </c>
      <c r="F563" t="s">
        <v>3146</v>
      </c>
      <c r="G563" t="s">
        <v>1123</v>
      </c>
      <c r="H563" t="s">
        <v>25</v>
      </c>
      <c r="I563" t="s">
        <v>26</v>
      </c>
      <c r="J563" t="s">
        <v>237</v>
      </c>
      <c r="K563" t="s">
        <v>237</v>
      </c>
      <c r="L563">
        <v>26061</v>
      </c>
      <c r="M563" t="s">
        <v>41</v>
      </c>
      <c r="N563" t="s">
        <v>845</v>
      </c>
      <c r="O563" t="s">
        <v>43</v>
      </c>
      <c r="P563" t="s">
        <v>214</v>
      </c>
      <c r="Q563" t="s">
        <v>3147</v>
      </c>
      <c r="R563" t="s">
        <v>3148</v>
      </c>
      <c r="S563">
        <v>1</v>
      </c>
      <c r="T563" s="2">
        <v>0.05</v>
      </c>
      <c r="U563" t="s">
        <v>3149</v>
      </c>
    </row>
    <row r="564" spans="1:21">
      <c r="A564">
        <v>4</v>
      </c>
      <c r="B564" t="s">
        <v>3150</v>
      </c>
      <c r="C564" s="1">
        <v>45587</v>
      </c>
      <c r="D564" s="1">
        <v>45590</v>
      </c>
      <c r="E564" t="s">
        <v>22</v>
      </c>
      <c r="F564" t="s">
        <v>3151</v>
      </c>
      <c r="G564" t="s">
        <v>1685</v>
      </c>
      <c r="H564" t="s">
        <v>25</v>
      </c>
      <c r="I564" t="s">
        <v>26</v>
      </c>
      <c r="J564" t="s">
        <v>641</v>
      </c>
      <c r="K564" t="s">
        <v>641</v>
      </c>
      <c r="L564">
        <v>99812</v>
      </c>
      <c r="M564" t="s">
        <v>62</v>
      </c>
      <c r="N564" t="s">
        <v>3152</v>
      </c>
      <c r="O564" t="s">
        <v>43</v>
      </c>
      <c r="P564" t="s">
        <v>189</v>
      </c>
      <c r="Q564" t="s">
        <v>1249</v>
      </c>
      <c r="R564" t="s">
        <v>3153</v>
      </c>
      <c r="S564">
        <v>7</v>
      </c>
      <c r="T564" s="2">
        <v>0.15</v>
      </c>
      <c r="U564" t="s">
        <v>3154</v>
      </c>
    </row>
    <row r="565" spans="1:21">
      <c r="A565">
        <v>564</v>
      </c>
      <c r="B565" t="s">
        <v>3155</v>
      </c>
      <c r="C565" s="1">
        <v>45591</v>
      </c>
      <c r="D565" s="1">
        <v>45593</v>
      </c>
      <c r="E565" t="s">
        <v>36</v>
      </c>
      <c r="F565" t="s">
        <v>3156</v>
      </c>
      <c r="G565" t="s">
        <v>80</v>
      </c>
      <c r="H565" t="s">
        <v>39</v>
      </c>
      <c r="I565" t="s">
        <v>26</v>
      </c>
      <c r="J565" t="s">
        <v>81</v>
      </c>
      <c r="K565" t="s">
        <v>81</v>
      </c>
      <c r="L565">
        <v>11652</v>
      </c>
      <c r="M565" t="s">
        <v>62</v>
      </c>
      <c r="N565" t="s">
        <v>2431</v>
      </c>
      <c r="O565" t="s">
        <v>30</v>
      </c>
      <c r="P565" t="s">
        <v>197</v>
      </c>
      <c r="Q565" t="s">
        <v>789</v>
      </c>
      <c r="R565" t="s">
        <v>3157</v>
      </c>
      <c r="S565">
        <v>5</v>
      </c>
      <c r="T565" s="2">
        <v>0.15</v>
      </c>
      <c r="U565" t="s">
        <v>3158</v>
      </c>
    </row>
    <row r="566" spans="1:21">
      <c r="A566">
        <v>403</v>
      </c>
      <c r="B566" t="s">
        <v>3159</v>
      </c>
      <c r="C566" s="1">
        <v>45592</v>
      </c>
      <c r="D566" s="1">
        <v>45596</v>
      </c>
      <c r="E566" t="s">
        <v>49</v>
      </c>
      <c r="F566" t="s">
        <v>3160</v>
      </c>
      <c r="G566" t="s">
        <v>1479</v>
      </c>
      <c r="H566" t="s">
        <v>25</v>
      </c>
      <c r="I566" t="s">
        <v>26</v>
      </c>
      <c r="J566" t="s">
        <v>204</v>
      </c>
      <c r="K566" t="s">
        <v>204</v>
      </c>
      <c r="L566">
        <v>84991</v>
      </c>
      <c r="M566" t="s">
        <v>28</v>
      </c>
      <c r="N566" t="s">
        <v>3161</v>
      </c>
      <c r="O566" t="s">
        <v>64</v>
      </c>
      <c r="P566" t="s">
        <v>405</v>
      </c>
      <c r="Q566" t="s">
        <v>3162</v>
      </c>
      <c r="R566" t="s">
        <v>3163</v>
      </c>
      <c r="S566">
        <v>6</v>
      </c>
      <c r="T566" s="2">
        <v>0.4</v>
      </c>
      <c r="U566" t="s">
        <v>3164</v>
      </c>
    </row>
    <row r="567" spans="1:21">
      <c r="A567">
        <v>167</v>
      </c>
      <c r="B567" t="s">
        <v>3165</v>
      </c>
      <c r="C567" s="1">
        <v>45597</v>
      </c>
      <c r="D567" s="1">
        <v>45600</v>
      </c>
      <c r="E567" t="s">
        <v>36</v>
      </c>
      <c r="F567" t="s">
        <v>3166</v>
      </c>
      <c r="G567" t="s">
        <v>1025</v>
      </c>
      <c r="H567" t="s">
        <v>39</v>
      </c>
      <c r="I567" t="s">
        <v>26</v>
      </c>
      <c r="J567" t="s">
        <v>641</v>
      </c>
      <c r="K567" t="s">
        <v>641</v>
      </c>
      <c r="L567">
        <v>32736</v>
      </c>
      <c r="M567" t="s">
        <v>62</v>
      </c>
      <c r="N567" t="s">
        <v>3167</v>
      </c>
      <c r="O567" t="s">
        <v>64</v>
      </c>
      <c r="P567" t="s">
        <v>105</v>
      </c>
      <c r="Q567" t="s">
        <v>2951</v>
      </c>
      <c r="R567" t="s">
        <v>3168</v>
      </c>
      <c r="S567">
        <v>1</v>
      </c>
      <c r="T567" s="2">
        <v>0</v>
      </c>
      <c r="U567" t="s">
        <v>3169</v>
      </c>
    </row>
    <row r="568" spans="1:21">
      <c r="A568">
        <v>171</v>
      </c>
      <c r="B568" t="s">
        <v>3170</v>
      </c>
      <c r="C568" s="1">
        <v>45598</v>
      </c>
      <c r="D568" s="1">
        <v>45601</v>
      </c>
      <c r="E568" t="s">
        <v>49</v>
      </c>
      <c r="F568" t="s">
        <v>3171</v>
      </c>
      <c r="G568" t="s">
        <v>126</v>
      </c>
      <c r="H568" t="s">
        <v>25</v>
      </c>
      <c r="I568" t="s">
        <v>26</v>
      </c>
      <c r="J568" t="s">
        <v>72</v>
      </c>
      <c r="K568" t="s">
        <v>72</v>
      </c>
      <c r="L568">
        <v>28135</v>
      </c>
      <c r="M568" t="s">
        <v>73</v>
      </c>
      <c r="N568" t="s">
        <v>1556</v>
      </c>
      <c r="O568" t="s">
        <v>43</v>
      </c>
      <c r="P568" t="s">
        <v>128</v>
      </c>
      <c r="Q568" t="s">
        <v>3172</v>
      </c>
      <c r="R568" t="s">
        <v>778</v>
      </c>
      <c r="S568">
        <v>6</v>
      </c>
      <c r="T568" s="2">
        <v>0.05</v>
      </c>
      <c r="U568" t="s">
        <v>3173</v>
      </c>
    </row>
    <row r="569" spans="1:21">
      <c r="A569">
        <v>229</v>
      </c>
      <c r="B569" t="s">
        <v>3174</v>
      </c>
      <c r="C569" s="1">
        <v>45598</v>
      </c>
      <c r="D569" s="1">
        <v>45599</v>
      </c>
      <c r="E569" t="s">
        <v>36</v>
      </c>
      <c r="F569" t="s">
        <v>3175</v>
      </c>
      <c r="G569" t="s">
        <v>118</v>
      </c>
      <c r="H569" t="s">
        <v>25</v>
      </c>
      <c r="I569" t="s">
        <v>26</v>
      </c>
      <c r="J569" t="s">
        <v>229</v>
      </c>
      <c r="K569" t="s">
        <v>229</v>
      </c>
      <c r="L569">
        <v>32765</v>
      </c>
      <c r="M569" t="s">
        <v>73</v>
      </c>
      <c r="N569" t="s">
        <v>2994</v>
      </c>
      <c r="O569" t="s">
        <v>30</v>
      </c>
      <c r="P569" t="s">
        <v>120</v>
      </c>
      <c r="Q569" t="s">
        <v>576</v>
      </c>
      <c r="R569" t="s">
        <v>3176</v>
      </c>
      <c r="S569">
        <v>3</v>
      </c>
      <c r="T569" s="2">
        <v>0.15</v>
      </c>
      <c r="U569" t="s">
        <v>2595</v>
      </c>
    </row>
    <row r="570" spans="1:21">
      <c r="A570">
        <v>546</v>
      </c>
      <c r="B570" t="s">
        <v>3177</v>
      </c>
      <c r="C570" s="1">
        <v>45600</v>
      </c>
      <c r="D570" s="1">
        <v>45603</v>
      </c>
      <c r="E570" t="s">
        <v>36</v>
      </c>
      <c r="F570" t="s">
        <v>3178</v>
      </c>
      <c r="G570" t="s">
        <v>1850</v>
      </c>
      <c r="H570" t="s">
        <v>39</v>
      </c>
      <c r="I570" t="s">
        <v>26</v>
      </c>
      <c r="J570" t="s">
        <v>245</v>
      </c>
      <c r="K570" t="s">
        <v>245</v>
      </c>
      <c r="L570">
        <v>16487</v>
      </c>
      <c r="M570" t="s">
        <v>41</v>
      </c>
      <c r="N570" t="s">
        <v>2690</v>
      </c>
      <c r="O570" t="s">
        <v>64</v>
      </c>
      <c r="P570" t="s">
        <v>405</v>
      </c>
      <c r="Q570" t="s">
        <v>3179</v>
      </c>
      <c r="R570" t="s">
        <v>3180</v>
      </c>
      <c r="S570">
        <v>5</v>
      </c>
      <c r="T570" s="2">
        <v>0.4</v>
      </c>
      <c r="U570" t="s">
        <v>3181</v>
      </c>
    </row>
    <row r="571" spans="1:21">
      <c r="A571">
        <v>123</v>
      </c>
      <c r="B571" t="s">
        <v>3182</v>
      </c>
      <c r="C571" s="1">
        <v>45605</v>
      </c>
      <c r="D571" s="1">
        <v>45608</v>
      </c>
      <c r="E571" t="s">
        <v>382</v>
      </c>
      <c r="F571" t="s">
        <v>3183</v>
      </c>
      <c r="G571" t="s">
        <v>134</v>
      </c>
      <c r="H571" t="s">
        <v>60</v>
      </c>
      <c r="I571" t="s">
        <v>26</v>
      </c>
      <c r="J571" t="s">
        <v>40</v>
      </c>
      <c r="K571" t="s">
        <v>40</v>
      </c>
      <c r="L571">
        <v>12023</v>
      </c>
      <c r="M571" t="s">
        <v>41</v>
      </c>
      <c r="N571" t="s">
        <v>3184</v>
      </c>
      <c r="O571" t="s">
        <v>64</v>
      </c>
      <c r="P571" t="s">
        <v>136</v>
      </c>
      <c r="Q571" t="s">
        <v>137</v>
      </c>
      <c r="R571" t="s">
        <v>3185</v>
      </c>
      <c r="S571">
        <v>6</v>
      </c>
      <c r="T571" s="2">
        <v>0.2</v>
      </c>
      <c r="U571" t="s">
        <v>3186</v>
      </c>
    </row>
    <row r="572" spans="1:21">
      <c r="A572">
        <v>166</v>
      </c>
      <c r="B572" t="s">
        <v>3187</v>
      </c>
      <c r="C572" s="1">
        <v>45608</v>
      </c>
      <c r="D572" s="1">
        <v>45613</v>
      </c>
      <c r="E572" t="s">
        <v>49</v>
      </c>
      <c r="F572" t="s">
        <v>3188</v>
      </c>
      <c r="G572" t="s">
        <v>851</v>
      </c>
      <c r="H572" t="s">
        <v>25</v>
      </c>
      <c r="I572" t="s">
        <v>26</v>
      </c>
      <c r="J572" t="s">
        <v>81</v>
      </c>
      <c r="K572" t="s">
        <v>81</v>
      </c>
      <c r="L572">
        <v>81126</v>
      </c>
      <c r="M572" t="s">
        <v>62</v>
      </c>
      <c r="N572" t="s">
        <v>1556</v>
      </c>
      <c r="O572" t="s">
        <v>43</v>
      </c>
      <c r="P572" t="s">
        <v>189</v>
      </c>
      <c r="Q572" t="s">
        <v>1348</v>
      </c>
      <c r="R572" t="s">
        <v>3189</v>
      </c>
      <c r="S572">
        <v>4</v>
      </c>
      <c r="T572" s="2">
        <v>0.1</v>
      </c>
      <c r="U572" t="s">
        <v>3190</v>
      </c>
    </row>
    <row r="573" spans="1:21">
      <c r="A573">
        <v>589</v>
      </c>
      <c r="B573" t="s">
        <v>3191</v>
      </c>
      <c r="C573" s="1">
        <v>45609</v>
      </c>
      <c r="D573" s="1">
        <v>45610</v>
      </c>
      <c r="E573" t="s">
        <v>36</v>
      </c>
      <c r="F573" t="s">
        <v>383</v>
      </c>
      <c r="G573" t="s">
        <v>244</v>
      </c>
      <c r="H573" t="s">
        <v>25</v>
      </c>
      <c r="I573" t="s">
        <v>26</v>
      </c>
      <c r="J573" t="s">
        <v>260</v>
      </c>
      <c r="K573" t="s">
        <v>260</v>
      </c>
      <c r="L573">
        <v>55704</v>
      </c>
      <c r="M573" t="s">
        <v>41</v>
      </c>
      <c r="N573" t="s">
        <v>870</v>
      </c>
      <c r="O573" t="s">
        <v>43</v>
      </c>
      <c r="P573" t="s">
        <v>83</v>
      </c>
      <c r="Q573" t="s">
        <v>3192</v>
      </c>
      <c r="R573" t="s">
        <v>3193</v>
      </c>
      <c r="S573">
        <v>5</v>
      </c>
      <c r="T573" s="2">
        <v>0</v>
      </c>
      <c r="U573" t="s">
        <v>3194</v>
      </c>
    </row>
    <row r="574" spans="1:21">
      <c r="A574">
        <v>281</v>
      </c>
      <c r="B574" t="s">
        <v>3195</v>
      </c>
      <c r="C574" s="1">
        <v>45610</v>
      </c>
      <c r="D574" s="1">
        <v>45613</v>
      </c>
      <c r="E574" t="s">
        <v>36</v>
      </c>
      <c r="F574" t="s">
        <v>3196</v>
      </c>
      <c r="G574" t="s">
        <v>322</v>
      </c>
      <c r="H574" t="s">
        <v>25</v>
      </c>
      <c r="I574" t="s">
        <v>26</v>
      </c>
      <c r="J574" t="s">
        <v>72</v>
      </c>
      <c r="K574" t="s">
        <v>72</v>
      </c>
      <c r="L574">
        <v>87242</v>
      </c>
      <c r="M574" t="s">
        <v>73</v>
      </c>
      <c r="N574" t="s">
        <v>531</v>
      </c>
      <c r="O574" t="s">
        <v>43</v>
      </c>
      <c r="P574" t="s">
        <v>189</v>
      </c>
      <c r="Q574" t="s">
        <v>3197</v>
      </c>
      <c r="R574" t="s">
        <v>3198</v>
      </c>
      <c r="S574">
        <v>1</v>
      </c>
      <c r="T574" s="2">
        <v>0</v>
      </c>
      <c r="U574" t="s">
        <v>3199</v>
      </c>
    </row>
    <row r="575" spans="1:21">
      <c r="A575">
        <v>362</v>
      </c>
      <c r="B575" t="s">
        <v>3200</v>
      </c>
      <c r="C575" s="1">
        <v>45611</v>
      </c>
      <c r="D575" s="1">
        <v>45614</v>
      </c>
      <c r="E575" t="s">
        <v>36</v>
      </c>
      <c r="F575" t="s">
        <v>3201</v>
      </c>
      <c r="G575" t="s">
        <v>505</v>
      </c>
      <c r="H575" t="s">
        <v>25</v>
      </c>
      <c r="I575" t="s">
        <v>26</v>
      </c>
      <c r="J575" t="s">
        <v>363</v>
      </c>
      <c r="K575" t="s">
        <v>363</v>
      </c>
      <c r="L575">
        <v>21437</v>
      </c>
      <c r="M575" t="s">
        <v>62</v>
      </c>
      <c r="N575" t="s">
        <v>2366</v>
      </c>
      <c r="O575" t="s">
        <v>43</v>
      </c>
      <c r="P575" t="s">
        <v>214</v>
      </c>
      <c r="Q575" t="s">
        <v>3147</v>
      </c>
      <c r="R575" t="s">
        <v>1173</v>
      </c>
      <c r="S575">
        <v>7</v>
      </c>
      <c r="T575" s="2">
        <v>0.15</v>
      </c>
      <c r="U575" t="s">
        <v>3202</v>
      </c>
    </row>
    <row r="576" spans="1:21">
      <c r="A576">
        <v>581</v>
      </c>
      <c r="B576" t="s">
        <v>3203</v>
      </c>
      <c r="C576" s="1">
        <v>45611</v>
      </c>
      <c r="D576" s="1">
        <v>45614</v>
      </c>
      <c r="E576" t="s">
        <v>36</v>
      </c>
      <c r="F576" t="s">
        <v>3204</v>
      </c>
      <c r="G576" t="s">
        <v>505</v>
      </c>
      <c r="H576" t="s">
        <v>60</v>
      </c>
      <c r="I576" t="s">
        <v>26</v>
      </c>
      <c r="J576" t="s">
        <v>96</v>
      </c>
      <c r="K576" t="s">
        <v>96</v>
      </c>
      <c r="L576">
        <v>48294</v>
      </c>
      <c r="M576" t="s">
        <v>28</v>
      </c>
      <c r="N576" t="s">
        <v>2072</v>
      </c>
      <c r="O576" t="s">
        <v>64</v>
      </c>
      <c r="P576" t="s">
        <v>136</v>
      </c>
      <c r="Q576" t="s">
        <v>2619</v>
      </c>
      <c r="R576" t="s">
        <v>2870</v>
      </c>
      <c r="S576">
        <v>6</v>
      </c>
      <c r="T576" s="2">
        <v>0.5</v>
      </c>
      <c r="U576" t="s">
        <v>3205</v>
      </c>
    </row>
    <row r="577" spans="1:21">
      <c r="A577">
        <v>587</v>
      </c>
      <c r="B577" t="s">
        <v>3206</v>
      </c>
      <c r="C577" s="1">
        <v>45612</v>
      </c>
      <c r="D577" s="1">
        <v>45615</v>
      </c>
      <c r="E577" t="s">
        <v>36</v>
      </c>
      <c r="F577" t="s">
        <v>3207</v>
      </c>
      <c r="G577" t="s">
        <v>1123</v>
      </c>
      <c r="H577" t="s">
        <v>60</v>
      </c>
      <c r="I577" t="s">
        <v>26</v>
      </c>
      <c r="J577" t="s">
        <v>96</v>
      </c>
      <c r="K577" t="s">
        <v>96</v>
      </c>
      <c r="L577">
        <v>82467</v>
      </c>
      <c r="M577" t="s">
        <v>28</v>
      </c>
      <c r="N577" t="s">
        <v>3208</v>
      </c>
      <c r="O577" t="s">
        <v>43</v>
      </c>
      <c r="P577" t="s">
        <v>128</v>
      </c>
      <c r="Q577" t="s">
        <v>3209</v>
      </c>
      <c r="R577" t="s">
        <v>3210</v>
      </c>
      <c r="S577">
        <v>6</v>
      </c>
      <c r="T577" s="2">
        <v>0.1</v>
      </c>
      <c r="U577" t="s">
        <v>3211</v>
      </c>
    </row>
    <row r="578" spans="1:21">
      <c r="A578">
        <v>369</v>
      </c>
      <c r="B578" t="s">
        <v>3212</v>
      </c>
      <c r="C578" s="1">
        <v>45613</v>
      </c>
      <c r="D578" s="1">
        <v>45616</v>
      </c>
      <c r="E578" t="s">
        <v>36</v>
      </c>
      <c r="F578" t="s">
        <v>3213</v>
      </c>
      <c r="G578" t="s">
        <v>1850</v>
      </c>
      <c r="H578" t="s">
        <v>39</v>
      </c>
      <c r="I578" t="s">
        <v>26</v>
      </c>
      <c r="J578" t="s">
        <v>438</v>
      </c>
      <c r="K578" t="s">
        <v>438</v>
      </c>
      <c r="L578">
        <v>20931</v>
      </c>
      <c r="M578" t="s">
        <v>28</v>
      </c>
      <c r="N578" t="s">
        <v>2809</v>
      </c>
      <c r="O578" t="s">
        <v>30</v>
      </c>
      <c r="P578" t="s">
        <v>120</v>
      </c>
      <c r="Q578" t="s">
        <v>899</v>
      </c>
      <c r="R578" t="s">
        <v>3214</v>
      </c>
      <c r="S578">
        <v>3</v>
      </c>
      <c r="T578" s="2">
        <v>0.3</v>
      </c>
      <c r="U578" t="s">
        <v>3215</v>
      </c>
    </row>
    <row r="579" spans="1:21">
      <c r="A579">
        <v>502</v>
      </c>
      <c r="B579" t="s">
        <v>3216</v>
      </c>
      <c r="C579" s="1">
        <v>45618</v>
      </c>
      <c r="D579" s="1">
        <v>45621</v>
      </c>
      <c r="E579" t="s">
        <v>22</v>
      </c>
      <c r="F579" t="s">
        <v>3217</v>
      </c>
      <c r="G579" t="s">
        <v>882</v>
      </c>
      <c r="H579" t="s">
        <v>25</v>
      </c>
      <c r="I579" t="s">
        <v>26</v>
      </c>
      <c r="J579" t="s">
        <v>52</v>
      </c>
      <c r="K579" t="s">
        <v>52</v>
      </c>
      <c r="L579">
        <v>28756</v>
      </c>
      <c r="M579" t="s">
        <v>41</v>
      </c>
      <c r="N579" t="s">
        <v>3218</v>
      </c>
      <c r="O579" t="s">
        <v>64</v>
      </c>
      <c r="P579" t="s">
        <v>65</v>
      </c>
      <c r="Q579" t="s">
        <v>275</v>
      </c>
      <c r="R579" t="s">
        <v>3219</v>
      </c>
      <c r="S579">
        <v>5</v>
      </c>
      <c r="T579" s="2">
        <v>0.5</v>
      </c>
      <c r="U579" t="s">
        <v>3220</v>
      </c>
    </row>
    <row r="580" spans="1:21">
      <c r="A580">
        <v>566</v>
      </c>
      <c r="B580" t="s">
        <v>3221</v>
      </c>
      <c r="C580" s="1">
        <v>45619</v>
      </c>
      <c r="D580" s="1">
        <v>45621</v>
      </c>
      <c r="E580" t="s">
        <v>49</v>
      </c>
      <c r="F580" t="s">
        <v>3222</v>
      </c>
      <c r="G580" t="s">
        <v>397</v>
      </c>
      <c r="H580" t="s">
        <v>25</v>
      </c>
      <c r="I580" t="s">
        <v>26</v>
      </c>
      <c r="J580" t="s">
        <v>173</v>
      </c>
      <c r="K580" t="s">
        <v>173</v>
      </c>
      <c r="L580">
        <v>36325</v>
      </c>
      <c r="M580" t="s">
        <v>73</v>
      </c>
      <c r="N580" t="s">
        <v>795</v>
      </c>
      <c r="O580" t="s">
        <v>43</v>
      </c>
      <c r="P580" t="s">
        <v>166</v>
      </c>
      <c r="Q580" t="s">
        <v>167</v>
      </c>
      <c r="R580" t="s">
        <v>3223</v>
      </c>
      <c r="S580">
        <v>5</v>
      </c>
      <c r="T580" s="2">
        <v>0.3</v>
      </c>
      <c r="U580" t="s">
        <v>3224</v>
      </c>
    </row>
    <row r="581" spans="1:21">
      <c r="A581">
        <v>487</v>
      </c>
      <c r="B581" t="s">
        <v>3225</v>
      </c>
      <c r="C581" s="1">
        <v>45622</v>
      </c>
      <c r="D581" s="1">
        <v>45624</v>
      </c>
      <c r="E581" t="s">
        <v>22</v>
      </c>
      <c r="F581" t="s">
        <v>3226</v>
      </c>
      <c r="G581" t="s">
        <v>1850</v>
      </c>
      <c r="H581" t="s">
        <v>60</v>
      </c>
      <c r="I581" t="s">
        <v>26</v>
      </c>
      <c r="J581" t="s">
        <v>173</v>
      </c>
      <c r="K581" t="s">
        <v>173</v>
      </c>
      <c r="L581">
        <v>82154</v>
      </c>
      <c r="M581" t="s">
        <v>73</v>
      </c>
      <c r="N581" t="s">
        <v>3227</v>
      </c>
      <c r="O581" t="s">
        <v>30</v>
      </c>
      <c r="P581" t="s">
        <v>31</v>
      </c>
      <c r="Q581" t="s">
        <v>2013</v>
      </c>
      <c r="R581" t="s">
        <v>3228</v>
      </c>
      <c r="S581">
        <v>2</v>
      </c>
      <c r="T581" s="2">
        <v>0.1</v>
      </c>
      <c r="U581" t="s">
        <v>3229</v>
      </c>
    </row>
    <row r="582" spans="1:21">
      <c r="A582">
        <v>28</v>
      </c>
      <c r="B582" t="s">
        <v>3230</v>
      </c>
      <c r="C582" s="1">
        <v>45624</v>
      </c>
      <c r="D582" s="1">
        <v>45626</v>
      </c>
      <c r="E582" t="s">
        <v>36</v>
      </c>
      <c r="F582" t="s">
        <v>3231</v>
      </c>
      <c r="G582" t="s">
        <v>719</v>
      </c>
      <c r="H582" t="s">
        <v>39</v>
      </c>
      <c r="I582" t="s">
        <v>26</v>
      </c>
      <c r="J582" t="s">
        <v>363</v>
      </c>
      <c r="K582" t="s">
        <v>363</v>
      </c>
      <c r="L582">
        <v>31677</v>
      </c>
      <c r="M582" t="s">
        <v>62</v>
      </c>
      <c r="N582" t="s">
        <v>1923</v>
      </c>
      <c r="O582" t="s">
        <v>64</v>
      </c>
      <c r="P582" t="s">
        <v>136</v>
      </c>
      <c r="Q582" t="s">
        <v>3232</v>
      </c>
      <c r="R582" t="s">
        <v>3233</v>
      </c>
      <c r="S582">
        <v>2</v>
      </c>
      <c r="T582" s="2">
        <v>0.5</v>
      </c>
      <c r="U582" t="s">
        <v>3234</v>
      </c>
    </row>
    <row r="583" spans="1:21">
      <c r="A583">
        <v>69</v>
      </c>
      <c r="B583" t="s">
        <v>3235</v>
      </c>
      <c r="C583" s="1">
        <v>45624</v>
      </c>
      <c r="D583" s="1">
        <v>45625</v>
      </c>
      <c r="E583" t="s">
        <v>36</v>
      </c>
      <c r="F583" t="s">
        <v>3236</v>
      </c>
      <c r="G583" t="s">
        <v>561</v>
      </c>
      <c r="H583" t="s">
        <v>25</v>
      </c>
      <c r="I583" t="s">
        <v>26</v>
      </c>
      <c r="J583" t="s">
        <v>301</v>
      </c>
      <c r="K583" t="s">
        <v>301</v>
      </c>
      <c r="L583">
        <v>42413</v>
      </c>
      <c r="M583" t="s">
        <v>73</v>
      </c>
      <c r="N583" t="s">
        <v>977</v>
      </c>
      <c r="O583" t="s">
        <v>64</v>
      </c>
      <c r="P583" t="s">
        <v>65</v>
      </c>
      <c r="Q583" t="s">
        <v>1811</v>
      </c>
      <c r="R583" t="s">
        <v>3237</v>
      </c>
      <c r="S583">
        <v>6</v>
      </c>
      <c r="T583" s="2">
        <v>0</v>
      </c>
      <c r="U583" t="s">
        <v>3238</v>
      </c>
    </row>
    <row r="584" spans="1:21">
      <c r="A584">
        <v>278</v>
      </c>
      <c r="B584" t="s">
        <v>3239</v>
      </c>
      <c r="C584" s="1">
        <v>45624</v>
      </c>
      <c r="D584" s="1">
        <v>45627</v>
      </c>
      <c r="E584" t="s">
        <v>22</v>
      </c>
      <c r="F584" t="s">
        <v>3240</v>
      </c>
      <c r="G584" t="s">
        <v>1446</v>
      </c>
      <c r="H584" t="s">
        <v>39</v>
      </c>
      <c r="I584" t="s">
        <v>26</v>
      </c>
      <c r="J584" t="s">
        <v>641</v>
      </c>
      <c r="K584" t="s">
        <v>641</v>
      </c>
      <c r="L584">
        <v>16533</v>
      </c>
      <c r="M584" t="s">
        <v>62</v>
      </c>
      <c r="N584" t="s">
        <v>971</v>
      </c>
      <c r="O584" t="s">
        <v>30</v>
      </c>
      <c r="P584" t="s">
        <v>222</v>
      </c>
      <c r="Q584" t="s">
        <v>3100</v>
      </c>
      <c r="R584" t="s">
        <v>3241</v>
      </c>
      <c r="S584">
        <v>5</v>
      </c>
      <c r="T584" s="2">
        <v>0.05</v>
      </c>
      <c r="U584" t="s">
        <v>3242</v>
      </c>
    </row>
    <row r="585" spans="1:21">
      <c r="A585">
        <v>76</v>
      </c>
      <c r="B585" t="s">
        <v>3243</v>
      </c>
      <c r="C585" s="1">
        <v>45631</v>
      </c>
      <c r="D585" s="1">
        <v>45634</v>
      </c>
      <c r="E585" t="s">
        <v>36</v>
      </c>
      <c r="F585" t="s">
        <v>3244</v>
      </c>
      <c r="G585" t="s">
        <v>103</v>
      </c>
      <c r="H585" t="s">
        <v>39</v>
      </c>
      <c r="I585" t="s">
        <v>26</v>
      </c>
      <c r="J585" t="s">
        <v>72</v>
      </c>
      <c r="K585" t="s">
        <v>72</v>
      </c>
      <c r="L585">
        <v>36660</v>
      </c>
      <c r="M585" t="s">
        <v>73</v>
      </c>
      <c r="N585" t="s">
        <v>800</v>
      </c>
      <c r="O585" t="s">
        <v>43</v>
      </c>
      <c r="P585" t="s">
        <v>128</v>
      </c>
      <c r="Q585" t="s">
        <v>3209</v>
      </c>
      <c r="R585" t="s">
        <v>3245</v>
      </c>
      <c r="S585">
        <v>1</v>
      </c>
      <c r="T585" s="2">
        <v>0.5</v>
      </c>
      <c r="U585" t="s">
        <v>3246</v>
      </c>
    </row>
    <row r="586" spans="1:21">
      <c r="A586">
        <v>222</v>
      </c>
      <c r="B586" t="s">
        <v>3247</v>
      </c>
      <c r="C586" s="1">
        <v>45633</v>
      </c>
      <c r="D586" s="1">
        <v>45636</v>
      </c>
      <c r="E586" t="s">
        <v>36</v>
      </c>
      <c r="F586" t="s">
        <v>3248</v>
      </c>
      <c r="G586" t="s">
        <v>750</v>
      </c>
      <c r="H586" t="s">
        <v>25</v>
      </c>
      <c r="I586" t="s">
        <v>26</v>
      </c>
      <c r="J586" t="s">
        <v>96</v>
      </c>
      <c r="K586" t="s">
        <v>96</v>
      </c>
      <c r="L586">
        <v>24026</v>
      </c>
      <c r="M586" t="s">
        <v>28</v>
      </c>
      <c r="N586" t="s">
        <v>3249</v>
      </c>
      <c r="O586" t="s">
        <v>43</v>
      </c>
      <c r="P586" t="s">
        <v>128</v>
      </c>
      <c r="Q586" t="s">
        <v>2340</v>
      </c>
      <c r="R586" t="s">
        <v>3250</v>
      </c>
      <c r="S586">
        <v>5</v>
      </c>
      <c r="T586" s="2">
        <v>0.5</v>
      </c>
      <c r="U586" t="s">
        <v>3251</v>
      </c>
    </row>
    <row r="587" spans="1:21">
      <c r="A587">
        <v>319</v>
      </c>
      <c r="B587" t="s">
        <v>3252</v>
      </c>
      <c r="C587" s="1">
        <v>45634</v>
      </c>
      <c r="D587" s="1">
        <v>45639</v>
      </c>
      <c r="E587" t="s">
        <v>49</v>
      </c>
      <c r="F587" t="s">
        <v>3253</v>
      </c>
      <c r="G587" t="s">
        <v>844</v>
      </c>
      <c r="H587" t="s">
        <v>60</v>
      </c>
      <c r="I587" t="s">
        <v>26</v>
      </c>
      <c r="J587" t="s">
        <v>40</v>
      </c>
      <c r="K587" t="s">
        <v>40</v>
      </c>
      <c r="L587">
        <v>20681</v>
      </c>
      <c r="M587" t="s">
        <v>41</v>
      </c>
      <c r="N587" t="s">
        <v>2654</v>
      </c>
      <c r="O587" t="s">
        <v>64</v>
      </c>
      <c r="P587" t="s">
        <v>105</v>
      </c>
      <c r="Q587" t="s">
        <v>2043</v>
      </c>
      <c r="R587" t="s">
        <v>3254</v>
      </c>
      <c r="S587">
        <v>5</v>
      </c>
      <c r="T587" s="2">
        <v>0.2</v>
      </c>
      <c r="U587" t="s">
        <v>3255</v>
      </c>
    </row>
    <row r="588" spans="1:21">
      <c r="A588">
        <v>453</v>
      </c>
      <c r="B588" t="s">
        <v>3256</v>
      </c>
      <c r="C588" s="1">
        <v>45636</v>
      </c>
      <c r="D588" s="1">
        <v>45640</v>
      </c>
      <c r="E588" t="s">
        <v>49</v>
      </c>
      <c r="F588" t="s">
        <v>3257</v>
      </c>
      <c r="G588" t="s">
        <v>1452</v>
      </c>
      <c r="H588" t="s">
        <v>39</v>
      </c>
      <c r="I588" t="s">
        <v>26</v>
      </c>
      <c r="J588" t="s">
        <v>27</v>
      </c>
      <c r="K588" t="s">
        <v>27</v>
      </c>
      <c r="L588">
        <v>22516</v>
      </c>
      <c r="M588" t="s">
        <v>28</v>
      </c>
      <c r="N588" t="s">
        <v>3258</v>
      </c>
      <c r="O588" t="s">
        <v>43</v>
      </c>
      <c r="P588" t="s">
        <v>166</v>
      </c>
      <c r="Q588" t="s">
        <v>2031</v>
      </c>
      <c r="R588" t="s">
        <v>3259</v>
      </c>
      <c r="S588">
        <v>3</v>
      </c>
      <c r="T588" s="2">
        <v>0.3</v>
      </c>
      <c r="U588" t="s">
        <v>664</v>
      </c>
    </row>
    <row r="589" spans="1:21">
      <c r="A589">
        <v>459</v>
      </c>
      <c r="B589" t="s">
        <v>3260</v>
      </c>
      <c r="C589" s="1">
        <v>45641</v>
      </c>
      <c r="D589" s="1">
        <v>45644</v>
      </c>
      <c r="E589" t="s">
        <v>36</v>
      </c>
      <c r="F589" t="s">
        <v>3261</v>
      </c>
      <c r="G589" t="s">
        <v>1212</v>
      </c>
      <c r="H589" t="s">
        <v>39</v>
      </c>
      <c r="I589" t="s">
        <v>26</v>
      </c>
      <c r="J589" t="s">
        <v>237</v>
      </c>
      <c r="K589" t="s">
        <v>237</v>
      </c>
      <c r="L589">
        <v>34853</v>
      </c>
      <c r="M589" t="s">
        <v>41</v>
      </c>
      <c r="N589" t="s">
        <v>2869</v>
      </c>
      <c r="O589" t="s">
        <v>30</v>
      </c>
      <c r="P589" t="s">
        <v>197</v>
      </c>
      <c r="Q589" t="s">
        <v>1020</v>
      </c>
      <c r="R589" t="s">
        <v>3262</v>
      </c>
      <c r="S589">
        <v>2</v>
      </c>
      <c r="T589" s="2">
        <v>0</v>
      </c>
      <c r="U589" t="s">
        <v>3263</v>
      </c>
    </row>
    <row r="590" spans="1:21">
      <c r="A590">
        <v>430</v>
      </c>
      <c r="B590" t="s">
        <v>3264</v>
      </c>
      <c r="C590" s="1">
        <v>45642</v>
      </c>
      <c r="D590" s="1">
        <v>45647</v>
      </c>
      <c r="E590" t="s">
        <v>36</v>
      </c>
      <c r="F590" t="s">
        <v>3265</v>
      </c>
      <c r="G590" t="s">
        <v>511</v>
      </c>
      <c r="H590" t="s">
        <v>25</v>
      </c>
      <c r="I590" t="s">
        <v>26</v>
      </c>
      <c r="J590" t="s">
        <v>40</v>
      </c>
      <c r="K590" t="s">
        <v>40</v>
      </c>
      <c r="L590">
        <v>34124</v>
      </c>
      <c r="M590" t="s">
        <v>41</v>
      </c>
      <c r="N590" t="s">
        <v>1799</v>
      </c>
      <c r="O590" t="s">
        <v>30</v>
      </c>
      <c r="P590" t="s">
        <v>197</v>
      </c>
      <c r="Q590" t="s">
        <v>2052</v>
      </c>
      <c r="R590" t="s">
        <v>3266</v>
      </c>
      <c r="S590">
        <v>2</v>
      </c>
      <c r="T590" s="2">
        <v>0</v>
      </c>
      <c r="U590" t="s">
        <v>3267</v>
      </c>
    </row>
    <row r="591" spans="1:21">
      <c r="A591">
        <v>184</v>
      </c>
      <c r="B591" t="s">
        <v>3268</v>
      </c>
      <c r="C591" s="1">
        <v>45643</v>
      </c>
      <c r="D591" s="1">
        <v>45648</v>
      </c>
      <c r="E591" t="s">
        <v>49</v>
      </c>
      <c r="F591" t="s">
        <v>3269</v>
      </c>
      <c r="G591" t="s">
        <v>471</v>
      </c>
      <c r="H591" t="s">
        <v>60</v>
      </c>
      <c r="I591" t="s">
        <v>26</v>
      </c>
      <c r="J591" t="s">
        <v>212</v>
      </c>
      <c r="K591" t="s">
        <v>212</v>
      </c>
      <c r="L591">
        <v>12871</v>
      </c>
      <c r="M591" t="s">
        <v>28</v>
      </c>
      <c r="N591" t="s">
        <v>3270</v>
      </c>
      <c r="O591" t="s">
        <v>30</v>
      </c>
      <c r="P591" t="s">
        <v>197</v>
      </c>
      <c r="Q591" t="s">
        <v>789</v>
      </c>
      <c r="R591" t="s">
        <v>3271</v>
      </c>
      <c r="S591">
        <v>1</v>
      </c>
      <c r="T591" s="2">
        <v>0</v>
      </c>
      <c r="U591" t="s">
        <v>3272</v>
      </c>
    </row>
    <row r="592" spans="1:21">
      <c r="A592">
        <v>235</v>
      </c>
      <c r="B592" t="s">
        <v>3273</v>
      </c>
      <c r="C592" s="1">
        <v>45643</v>
      </c>
      <c r="D592" s="1">
        <v>45645</v>
      </c>
      <c r="E592" t="s">
        <v>22</v>
      </c>
      <c r="F592" t="s">
        <v>3274</v>
      </c>
      <c r="G592" t="s">
        <v>959</v>
      </c>
      <c r="H592" t="s">
        <v>39</v>
      </c>
      <c r="I592" t="s">
        <v>26</v>
      </c>
      <c r="J592" t="s">
        <v>260</v>
      </c>
      <c r="K592" t="s">
        <v>260</v>
      </c>
      <c r="L592">
        <v>62509</v>
      </c>
      <c r="M592" t="s">
        <v>41</v>
      </c>
      <c r="N592" t="s">
        <v>3184</v>
      </c>
      <c r="O592" t="s">
        <v>30</v>
      </c>
      <c r="P592" t="s">
        <v>197</v>
      </c>
      <c r="Q592" t="s">
        <v>2509</v>
      </c>
      <c r="R592" t="s">
        <v>3275</v>
      </c>
      <c r="S592">
        <v>5</v>
      </c>
      <c r="T592" s="2">
        <v>0.15</v>
      </c>
      <c r="U592" t="s">
        <v>92</v>
      </c>
    </row>
    <row r="593" spans="1:21">
      <c r="A593">
        <v>110</v>
      </c>
      <c r="B593" t="s">
        <v>3276</v>
      </c>
      <c r="C593" s="1">
        <v>45645</v>
      </c>
      <c r="D593" s="1">
        <v>45648</v>
      </c>
      <c r="E593" t="s">
        <v>36</v>
      </c>
      <c r="F593" t="s">
        <v>3277</v>
      </c>
      <c r="G593" t="s">
        <v>713</v>
      </c>
      <c r="H593" t="s">
        <v>25</v>
      </c>
      <c r="I593" t="s">
        <v>26</v>
      </c>
      <c r="J593" t="s">
        <v>260</v>
      </c>
      <c r="K593" t="s">
        <v>260</v>
      </c>
      <c r="L593">
        <v>16406</v>
      </c>
      <c r="M593" t="s">
        <v>41</v>
      </c>
      <c r="N593" t="s">
        <v>3278</v>
      </c>
      <c r="O593" t="s">
        <v>30</v>
      </c>
      <c r="P593" t="s">
        <v>222</v>
      </c>
      <c r="Q593" t="s">
        <v>3070</v>
      </c>
      <c r="R593" t="s">
        <v>3279</v>
      </c>
      <c r="S593">
        <v>7</v>
      </c>
      <c r="T593" s="2">
        <v>0.05</v>
      </c>
      <c r="U593" t="s">
        <v>305</v>
      </c>
    </row>
    <row r="594" spans="1:21">
      <c r="A594">
        <v>484</v>
      </c>
      <c r="B594" t="s">
        <v>3280</v>
      </c>
      <c r="C594" s="1">
        <v>45647</v>
      </c>
      <c r="D594" s="1">
        <v>45650</v>
      </c>
      <c r="E594" t="s">
        <v>36</v>
      </c>
      <c r="F594" t="s">
        <v>730</v>
      </c>
      <c r="G594" t="s">
        <v>994</v>
      </c>
      <c r="H594" t="s">
        <v>39</v>
      </c>
      <c r="I594" t="s">
        <v>26</v>
      </c>
      <c r="J594" t="s">
        <v>81</v>
      </c>
      <c r="K594" t="s">
        <v>81</v>
      </c>
      <c r="L594">
        <v>76433</v>
      </c>
      <c r="M594" t="s">
        <v>62</v>
      </c>
      <c r="N594" t="s">
        <v>738</v>
      </c>
      <c r="O594" t="s">
        <v>30</v>
      </c>
      <c r="P594" t="s">
        <v>197</v>
      </c>
      <c r="Q594" t="s">
        <v>2063</v>
      </c>
      <c r="R594" t="s">
        <v>3281</v>
      </c>
      <c r="S594">
        <v>6</v>
      </c>
      <c r="T594" s="2">
        <v>0.3</v>
      </c>
      <c r="U594" t="s">
        <v>3282</v>
      </c>
    </row>
    <row r="595" spans="1:21">
      <c r="A595">
        <v>214</v>
      </c>
      <c r="B595" t="s">
        <v>3283</v>
      </c>
      <c r="C595" s="1">
        <v>45647</v>
      </c>
      <c r="D595" s="1">
        <v>45652</v>
      </c>
      <c r="E595" t="s">
        <v>36</v>
      </c>
      <c r="F595" t="s">
        <v>3284</v>
      </c>
      <c r="G595" t="s">
        <v>180</v>
      </c>
      <c r="H595" t="s">
        <v>25</v>
      </c>
      <c r="I595" t="s">
        <v>26</v>
      </c>
      <c r="J595" t="s">
        <v>173</v>
      </c>
      <c r="K595" t="s">
        <v>173</v>
      </c>
      <c r="L595">
        <v>87299</v>
      </c>
      <c r="M595" t="s">
        <v>73</v>
      </c>
      <c r="N595" t="s">
        <v>1630</v>
      </c>
      <c r="O595" t="s">
        <v>30</v>
      </c>
      <c r="P595" t="s">
        <v>120</v>
      </c>
      <c r="Q595" t="s">
        <v>3285</v>
      </c>
      <c r="R595" t="s">
        <v>3286</v>
      </c>
      <c r="S595">
        <v>1</v>
      </c>
      <c r="T595" s="2">
        <v>0.15</v>
      </c>
      <c r="U595" t="s">
        <v>3287</v>
      </c>
    </row>
    <row r="596" spans="1:21">
      <c r="A596">
        <v>239</v>
      </c>
      <c r="B596" t="s">
        <v>3288</v>
      </c>
      <c r="C596" s="1">
        <v>45648</v>
      </c>
      <c r="D596" s="1">
        <v>45649</v>
      </c>
      <c r="E596" t="s">
        <v>36</v>
      </c>
      <c r="F596" t="s">
        <v>3289</v>
      </c>
      <c r="G596" t="s">
        <v>731</v>
      </c>
      <c r="H596" t="s">
        <v>39</v>
      </c>
      <c r="I596" t="s">
        <v>26</v>
      </c>
      <c r="J596" t="s">
        <v>40</v>
      </c>
      <c r="K596" t="s">
        <v>40</v>
      </c>
      <c r="L596">
        <v>87475</v>
      </c>
      <c r="M596" t="s">
        <v>41</v>
      </c>
      <c r="N596" t="s">
        <v>3290</v>
      </c>
      <c r="O596" t="s">
        <v>30</v>
      </c>
      <c r="P596" t="s">
        <v>31</v>
      </c>
      <c r="Q596" t="s">
        <v>582</v>
      </c>
      <c r="R596" t="s">
        <v>3291</v>
      </c>
      <c r="S596">
        <v>7</v>
      </c>
      <c r="T596" s="2">
        <v>0.2</v>
      </c>
      <c r="U596" t="s">
        <v>3292</v>
      </c>
    </row>
    <row r="597" spans="1:21">
      <c r="A597">
        <v>336</v>
      </c>
      <c r="B597" t="s">
        <v>3293</v>
      </c>
      <c r="C597" s="1">
        <v>45648</v>
      </c>
      <c r="D597" s="1">
        <v>45652</v>
      </c>
      <c r="E597" t="s">
        <v>36</v>
      </c>
      <c r="F597" t="s">
        <v>3294</v>
      </c>
      <c r="G597" t="s">
        <v>568</v>
      </c>
      <c r="H597" t="s">
        <v>25</v>
      </c>
      <c r="I597" t="s">
        <v>26</v>
      </c>
      <c r="J597" t="s">
        <v>81</v>
      </c>
      <c r="K597" t="s">
        <v>81</v>
      </c>
      <c r="L597">
        <v>67104</v>
      </c>
      <c r="M597" t="s">
        <v>62</v>
      </c>
      <c r="N597" t="s">
        <v>1939</v>
      </c>
      <c r="O597" t="s">
        <v>64</v>
      </c>
      <c r="P597" t="s">
        <v>105</v>
      </c>
      <c r="Q597" t="s">
        <v>2852</v>
      </c>
      <c r="R597" t="s">
        <v>3295</v>
      </c>
      <c r="S597">
        <v>2</v>
      </c>
      <c r="T597" s="2">
        <v>0.4</v>
      </c>
      <c r="U597" t="s">
        <v>3296</v>
      </c>
    </row>
    <row r="598" spans="1:21">
      <c r="A598">
        <v>472</v>
      </c>
      <c r="B598" t="s">
        <v>3297</v>
      </c>
      <c r="C598" s="1">
        <v>45650</v>
      </c>
      <c r="D598" s="1">
        <v>45653</v>
      </c>
      <c r="E598" t="s">
        <v>36</v>
      </c>
      <c r="F598" t="s">
        <v>3298</v>
      </c>
      <c r="G598" t="s">
        <v>1265</v>
      </c>
      <c r="H598" t="s">
        <v>39</v>
      </c>
      <c r="I598" t="s">
        <v>26</v>
      </c>
      <c r="J598" t="s">
        <v>72</v>
      </c>
      <c r="K598" t="s">
        <v>72</v>
      </c>
      <c r="L598">
        <v>69949</v>
      </c>
      <c r="M598" t="s">
        <v>73</v>
      </c>
      <c r="N598" t="s">
        <v>3299</v>
      </c>
      <c r="O598" t="s">
        <v>30</v>
      </c>
      <c r="P598" t="s">
        <v>31</v>
      </c>
      <c r="Q598" t="s">
        <v>386</v>
      </c>
      <c r="R598" t="s">
        <v>3300</v>
      </c>
      <c r="S598">
        <v>3</v>
      </c>
      <c r="T598" s="2">
        <v>0</v>
      </c>
      <c r="U598" t="s">
        <v>3301</v>
      </c>
    </row>
    <row r="599" spans="1:21">
      <c r="A599">
        <v>230</v>
      </c>
      <c r="B599" t="s">
        <v>3302</v>
      </c>
      <c r="C599" s="1">
        <v>45650</v>
      </c>
      <c r="D599" s="1">
        <v>45653</v>
      </c>
      <c r="E599" t="s">
        <v>36</v>
      </c>
      <c r="F599" t="s">
        <v>3303</v>
      </c>
      <c r="G599" t="s">
        <v>1358</v>
      </c>
      <c r="H599" t="s">
        <v>25</v>
      </c>
      <c r="I599" t="s">
        <v>26</v>
      </c>
      <c r="J599" t="s">
        <v>237</v>
      </c>
      <c r="K599" t="s">
        <v>237</v>
      </c>
      <c r="L599">
        <v>68870</v>
      </c>
      <c r="M599" t="s">
        <v>41</v>
      </c>
      <c r="N599" t="s">
        <v>3304</v>
      </c>
      <c r="O599" t="s">
        <v>43</v>
      </c>
      <c r="P599" t="s">
        <v>128</v>
      </c>
      <c r="Q599" t="s">
        <v>685</v>
      </c>
      <c r="R599" t="s">
        <v>3305</v>
      </c>
      <c r="S599">
        <v>2</v>
      </c>
      <c r="T599" s="2">
        <v>0.2</v>
      </c>
      <c r="U599" t="s">
        <v>3306</v>
      </c>
    </row>
    <row r="600" spans="1:21">
      <c r="A600">
        <v>478</v>
      </c>
      <c r="B600" t="s">
        <v>3307</v>
      </c>
      <c r="C600" s="1">
        <v>45652</v>
      </c>
      <c r="D600" s="1">
        <v>45654</v>
      </c>
      <c r="E600" t="s">
        <v>49</v>
      </c>
      <c r="F600" t="s">
        <v>3059</v>
      </c>
      <c r="G600" t="s">
        <v>1519</v>
      </c>
      <c r="H600" t="s">
        <v>25</v>
      </c>
      <c r="I600" t="s">
        <v>26</v>
      </c>
      <c r="J600" t="s">
        <v>204</v>
      </c>
      <c r="K600" t="s">
        <v>204</v>
      </c>
      <c r="L600">
        <v>42430</v>
      </c>
      <c r="M600" t="s">
        <v>28</v>
      </c>
      <c r="N600" t="s">
        <v>3308</v>
      </c>
      <c r="O600" t="s">
        <v>30</v>
      </c>
      <c r="P600" t="s">
        <v>120</v>
      </c>
      <c r="Q600" t="s">
        <v>1112</v>
      </c>
      <c r="R600" t="s">
        <v>3309</v>
      </c>
      <c r="S600">
        <v>7</v>
      </c>
      <c r="T600" s="2">
        <v>0</v>
      </c>
      <c r="U600" t="s">
        <v>3310</v>
      </c>
    </row>
    <row r="601" spans="1:21">
      <c r="A601">
        <v>294</v>
      </c>
      <c r="B601" t="s">
        <v>3311</v>
      </c>
      <c r="C601" s="1">
        <v>45654</v>
      </c>
      <c r="D601" s="1">
        <v>45657</v>
      </c>
      <c r="E601" t="s">
        <v>22</v>
      </c>
      <c r="F601" t="s">
        <v>3312</v>
      </c>
      <c r="G601" t="s">
        <v>1110</v>
      </c>
      <c r="H601" t="s">
        <v>39</v>
      </c>
      <c r="I601" t="s">
        <v>26</v>
      </c>
      <c r="J601" t="s">
        <v>204</v>
      </c>
      <c r="K601" t="s">
        <v>204</v>
      </c>
      <c r="L601">
        <v>69658</v>
      </c>
      <c r="M601" t="s">
        <v>28</v>
      </c>
      <c r="N601" t="s">
        <v>3313</v>
      </c>
      <c r="O601" t="s">
        <v>64</v>
      </c>
      <c r="P601" t="s">
        <v>405</v>
      </c>
      <c r="Q601" t="s">
        <v>2599</v>
      </c>
      <c r="R601" t="s">
        <v>3314</v>
      </c>
      <c r="S601">
        <v>3</v>
      </c>
      <c r="T601" s="2">
        <v>0</v>
      </c>
      <c r="U601" t="s">
        <v>3315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7D7A-8C00-4512-8E4F-020F4B9BC389}">
  <dimension ref="A1:AB601"/>
  <sheetViews>
    <sheetView topLeftCell="Q1" workbookViewId="0">
      <selection activeCell="W3" sqref="W3"/>
    </sheetView>
  </sheetViews>
  <sheetFormatPr defaultRowHeight="14.5"/>
  <cols>
    <col min="1" max="1" width="3.81640625" bestFit="1" customWidth="1"/>
    <col min="2" max="2" width="13.54296875" bestFit="1" customWidth="1"/>
    <col min="3" max="4" width="10.08984375" bestFit="1" customWidth="1"/>
    <col min="5" max="5" width="13.08984375" bestFit="1" customWidth="1"/>
    <col min="6" max="6" width="8" bestFit="1" customWidth="1"/>
    <col min="7" max="7" width="12.1796875" bestFit="1" customWidth="1"/>
    <col min="8" max="8" width="10.90625" bestFit="1" customWidth="1"/>
    <col min="9" max="9" width="11.7265625" bestFit="1" customWidth="1"/>
    <col min="10" max="11" width="12.1796875" bestFit="1" customWidth="1"/>
    <col min="12" max="12" width="5.81640625" bestFit="1" customWidth="1"/>
    <col min="13" max="13" width="6.81640625" bestFit="1" customWidth="1"/>
    <col min="14" max="14" width="9.26953125" bestFit="1" customWidth="1"/>
    <col min="15" max="15" width="13" bestFit="1" customWidth="1"/>
    <col min="16" max="16" width="10.7265625" bestFit="1" customWidth="1"/>
    <col min="17" max="17" width="20" bestFit="1" customWidth="1"/>
    <col min="18" max="18" width="7.36328125" bestFit="1" customWidth="1"/>
    <col min="19" max="19" width="1.81640625" bestFit="1" customWidth="1"/>
    <col min="20" max="20" width="12.6328125" customWidth="1"/>
    <col min="21" max="21" width="7.36328125" bestFit="1" customWidth="1"/>
    <col min="22" max="22" width="16.26953125" customWidth="1"/>
    <col min="23" max="23" width="11.90625" customWidth="1"/>
    <col min="24" max="24" width="16.1796875" style="8" customWidth="1"/>
    <col min="25" max="25" width="18.26953125" style="6" customWidth="1"/>
    <col min="28" max="28" width="18.269531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3316</v>
      </c>
      <c r="W1" t="s">
        <v>3317</v>
      </c>
      <c r="X1" s="7" t="s">
        <v>3318</v>
      </c>
      <c r="Y1" s="5" t="s">
        <v>3319</v>
      </c>
      <c r="Z1" s="3" t="s">
        <v>3320</v>
      </c>
      <c r="AA1" t="s">
        <v>3321</v>
      </c>
      <c r="AB1" t="s">
        <v>3322</v>
      </c>
    </row>
    <row r="2" spans="1:28">
      <c r="A2">
        <v>519</v>
      </c>
      <c r="B2" t="s">
        <v>21</v>
      </c>
      <c r="C2" s="1">
        <v>44562</v>
      </c>
      <c r="D2" s="1">
        <v>44565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>
        <v>64176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1</v>
      </c>
      <c r="T2" s="2">
        <v>0.05</v>
      </c>
      <c r="U2" t="s">
        <v>34</v>
      </c>
      <c r="V2" t="str">
        <f>CHOOSE(MOD(SalesData[[#This Row],[Row ID]]-1,8)+1,"Aarav Sharma","Ananya Singh","Rohan Verma","Priya Gupta","Arjun Mehta","Neha Kapoor","Rahul Joshi","Sneha Patel")</f>
        <v>Rahul Joshi</v>
      </c>
      <c r="W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" s="8">
        <f>IFERROR(VALUE(SUBSTITUTE(SUBSTITUTE(SalesData[[#This Row],[Profit]],"$",""),",",""))/VALUE(SUBSTITUTE(SUBSTITUTE(SalesData[[#This Row],[Sales]],"$",""),",","")),0)</f>
        <v>0.10206123674204523</v>
      </c>
      <c r="Y2" s="6">
        <f>IFERROR(VALUE(SUBSTITUTE(SUBSTITUTE(SalesData[[#This Row],[Sales]],"$",""),",",""))/SalesData[[#This Row],[Quantity]],0)</f>
        <v>149.91</v>
      </c>
      <c r="Z2">
        <f>YEAR(SalesData[[#This Row],[Order Date]])</f>
        <v>2022</v>
      </c>
      <c r="AA2" t="str">
        <f>TEXT(SalesData[[#This Row],[Order Date]],"mmm")</f>
        <v>Jan</v>
      </c>
      <c r="AB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" spans="1:28">
      <c r="A3">
        <v>350</v>
      </c>
      <c r="B3" t="s">
        <v>35</v>
      </c>
      <c r="C3" s="1">
        <v>44562</v>
      </c>
      <c r="D3" s="1">
        <v>44566</v>
      </c>
      <c r="E3" t="s">
        <v>36</v>
      </c>
      <c r="F3" t="s">
        <v>37</v>
      </c>
      <c r="G3" t="s">
        <v>38</v>
      </c>
      <c r="H3" t="s">
        <v>39</v>
      </c>
      <c r="I3" t="s">
        <v>26</v>
      </c>
      <c r="J3" t="s">
        <v>40</v>
      </c>
      <c r="K3" t="s">
        <v>40</v>
      </c>
      <c r="L3">
        <v>43085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>
        <v>2</v>
      </c>
      <c r="T3" s="2">
        <v>0.3</v>
      </c>
      <c r="U3" t="s">
        <v>47</v>
      </c>
      <c r="V3" t="str">
        <f>CHOOSE(MOD(SalesData[[#This Row],[Row ID]]-1,8)+1,"Aarav Sharma","Ananya Singh","Rohan Verma","Priya Gupta","Arjun Mehta","Neha Kapoor","Rahul Joshi","Sneha Patel")</f>
        <v>Neha Kapoor</v>
      </c>
      <c r="W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" s="8">
        <f>IFERROR(VALUE(SUBSTITUTE(SUBSTITUTE(SalesData[[#This Row],[Profit]],"$",""),",",""))/VALUE(SUBSTITUTE(SUBSTITUTE(SalesData[[#This Row],[Sales]],"$",""),",","")),0)</f>
        <v>7.9497907949790794E-2</v>
      </c>
      <c r="Y3" s="6">
        <f>IFERROR(VALUE(SUBSTITUTE(SUBSTITUTE(SalesData[[#This Row],[Sales]],"$",""),",",""))/SalesData[[#This Row],[Quantity]],0)</f>
        <v>23.9</v>
      </c>
      <c r="Z3">
        <f>YEAR(SalesData[[#This Row],[Order Date]])</f>
        <v>2022</v>
      </c>
      <c r="AA3" t="str">
        <f>TEXT(SalesData[[#This Row],[Order Date]],"mmm")</f>
        <v>Jan</v>
      </c>
      <c r="AB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" spans="1:28">
      <c r="A4">
        <v>149</v>
      </c>
      <c r="B4" t="s">
        <v>48</v>
      </c>
      <c r="C4" s="1">
        <v>44562</v>
      </c>
      <c r="D4" s="1">
        <v>44565</v>
      </c>
      <c r="E4" t="s">
        <v>49</v>
      </c>
      <c r="F4" t="s">
        <v>50</v>
      </c>
      <c r="G4" t="s">
        <v>51</v>
      </c>
      <c r="H4" t="s">
        <v>39</v>
      </c>
      <c r="I4" t="s">
        <v>26</v>
      </c>
      <c r="J4" t="s">
        <v>52</v>
      </c>
      <c r="K4" t="s">
        <v>52</v>
      </c>
      <c r="L4">
        <v>62893</v>
      </c>
      <c r="M4" t="s">
        <v>41</v>
      </c>
      <c r="N4" t="s">
        <v>53</v>
      </c>
      <c r="O4" t="s">
        <v>43</v>
      </c>
      <c r="P4" t="s">
        <v>44</v>
      </c>
      <c r="Q4" t="s">
        <v>54</v>
      </c>
      <c r="R4" t="s">
        <v>55</v>
      </c>
      <c r="S4">
        <v>7</v>
      </c>
      <c r="T4" s="2">
        <v>0.4</v>
      </c>
      <c r="U4" t="s">
        <v>56</v>
      </c>
      <c r="V4" t="str">
        <f>CHOOSE(MOD(SalesData[[#This Row],[Row ID]]-1,8)+1,"Aarav Sharma","Ananya Singh","Rohan Verma","Priya Gupta","Arjun Mehta","Neha Kapoor","Rahul Joshi","Sneha Patel")</f>
        <v>Arjun Mehta</v>
      </c>
      <c r="W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" s="8">
        <f>IFERROR(VALUE(SUBSTITUTE(SUBSTITUTE(SalesData[[#This Row],[Profit]],"$",""),",",""))/VALUE(SUBSTITUTE(SUBSTITUTE(SalesData[[#This Row],[Sales]],"$",""),",","")),0)</f>
        <v>-6.3975517341882823E-2</v>
      </c>
      <c r="Y4" s="6">
        <f>IFERROR(VALUE(SUBSTITUTE(SUBSTITUTE(SalesData[[#This Row],[Sales]],"$",""),",",""))/SalesData[[#This Row],[Quantity]],0)</f>
        <v>9.8028571428571443</v>
      </c>
      <c r="Z4">
        <f>YEAR(SalesData[[#This Row],[Order Date]])</f>
        <v>2022</v>
      </c>
      <c r="AA4" t="str">
        <f>TEXT(SalesData[[#This Row],[Order Date]],"mmm")</f>
        <v>Jan</v>
      </c>
      <c r="AB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" spans="1:28">
      <c r="A5">
        <v>13</v>
      </c>
      <c r="B5" t="s">
        <v>57</v>
      </c>
      <c r="C5" s="1">
        <v>44563</v>
      </c>
      <c r="D5" s="1">
        <v>44569</v>
      </c>
      <c r="E5" t="s">
        <v>36</v>
      </c>
      <c r="F5" t="s">
        <v>58</v>
      </c>
      <c r="G5" t="s">
        <v>59</v>
      </c>
      <c r="H5" t="s">
        <v>60</v>
      </c>
      <c r="I5" t="s">
        <v>26</v>
      </c>
      <c r="J5" t="s">
        <v>61</v>
      </c>
      <c r="K5" t="s">
        <v>61</v>
      </c>
      <c r="L5">
        <v>71267</v>
      </c>
      <c r="M5" t="s">
        <v>62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  <c r="S5">
        <v>3</v>
      </c>
      <c r="T5" s="2">
        <v>0.3</v>
      </c>
      <c r="U5" t="s">
        <v>68</v>
      </c>
      <c r="V5" t="str">
        <f>CHOOSE(MOD(SalesData[[#This Row],[Row ID]]-1,8)+1,"Aarav Sharma","Ananya Singh","Rohan Verma","Priya Gupta","Arjun Mehta","Neha Kapoor","Rahul Joshi","Sneha Patel")</f>
        <v>Arjun Mehta</v>
      </c>
      <c r="W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" s="8">
        <f>IFERROR(VALUE(SUBSTITUTE(SUBSTITUTE(SalesData[[#This Row],[Profit]],"$",""),",",""))/VALUE(SUBSTITUTE(SUBSTITUTE(SalesData[[#This Row],[Sales]],"$",""),",","")),0)</f>
        <v>0.10142821897530085</v>
      </c>
      <c r="Y5" s="6">
        <f>IFERROR(VALUE(SUBSTITUTE(SUBSTITUTE(SalesData[[#This Row],[Sales]],"$",""),",",""))/SalesData[[#This Row],[Quantity]],0)</f>
        <v>121.59666666666668</v>
      </c>
      <c r="Z5">
        <f>YEAR(SalesData[[#This Row],[Order Date]])</f>
        <v>2022</v>
      </c>
      <c r="AA5" t="str">
        <f>TEXT(SalesData[[#This Row],[Order Date]],"mmm")</f>
        <v>Jan</v>
      </c>
      <c r="AB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6" spans="1:28">
      <c r="A6">
        <v>179</v>
      </c>
      <c r="B6" t="s">
        <v>69</v>
      </c>
      <c r="C6" s="1">
        <v>44564</v>
      </c>
      <c r="D6" s="1">
        <v>44566</v>
      </c>
      <c r="E6" t="s">
        <v>22</v>
      </c>
      <c r="F6" t="s">
        <v>70</v>
      </c>
      <c r="G6" t="s">
        <v>71</v>
      </c>
      <c r="H6" t="s">
        <v>25</v>
      </c>
      <c r="I6" t="s">
        <v>26</v>
      </c>
      <c r="J6" t="s">
        <v>72</v>
      </c>
      <c r="K6" t="s">
        <v>72</v>
      </c>
      <c r="L6">
        <v>83402</v>
      </c>
      <c r="M6" t="s">
        <v>73</v>
      </c>
      <c r="N6" t="s">
        <v>74</v>
      </c>
      <c r="O6" t="s">
        <v>43</v>
      </c>
      <c r="P6" t="s">
        <v>44</v>
      </c>
      <c r="Q6" t="s">
        <v>75</v>
      </c>
      <c r="R6" t="s">
        <v>76</v>
      </c>
      <c r="S6">
        <v>3</v>
      </c>
      <c r="T6" s="2">
        <v>0.1</v>
      </c>
      <c r="U6" t="s">
        <v>77</v>
      </c>
      <c r="V6" t="str">
        <f>CHOOSE(MOD(SalesData[[#This Row],[Row ID]]-1,8)+1,"Aarav Sharma","Ananya Singh","Rohan Verma","Priya Gupta","Arjun Mehta","Neha Kapoor","Rahul Joshi","Sneha Patel")</f>
        <v>Rohan Verma</v>
      </c>
      <c r="W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6" s="8">
        <f>IFERROR(VALUE(SUBSTITUTE(SUBSTITUTE(SalesData[[#This Row],[Profit]],"$",""),",",""))/VALUE(SUBSTITUTE(SUBSTITUTE(SalesData[[#This Row],[Sales]],"$",""),",","")),0)</f>
        <v>0.13576680672268909</v>
      </c>
      <c r="Y6" s="6">
        <f>IFERROR(VALUE(SUBSTITUTE(SUBSTITUTE(SalesData[[#This Row],[Sales]],"$",""),",",""))/SalesData[[#This Row],[Quantity]],0)</f>
        <v>12.693333333333333</v>
      </c>
      <c r="Z6">
        <f>YEAR(SalesData[[#This Row],[Order Date]])</f>
        <v>2022</v>
      </c>
      <c r="AA6" t="str">
        <f>TEXT(SalesData[[#This Row],[Order Date]],"mmm")</f>
        <v>Jan</v>
      </c>
      <c r="AB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7" spans="1:28">
      <c r="A7">
        <v>48</v>
      </c>
      <c r="B7" t="s">
        <v>78</v>
      </c>
      <c r="C7" s="1">
        <v>44566</v>
      </c>
      <c r="D7" s="1">
        <v>44568</v>
      </c>
      <c r="E7" t="s">
        <v>49</v>
      </c>
      <c r="F7" t="s">
        <v>79</v>
      </c>
      <c r="G7" t="s">
        <v>80</v>
      </c>
      <c r="H7" t="s">
        <v>25</v>
      </c>
      <c r="I7" t="s">
        <v>26</v>
      </c>
      <c r="J7" t="s">
        <v>81</v>
      </c>
      <c r="K7" t="s">
        <v>81</v>
      </c>
      <c r="L7">
        <v>28574</v>
      </c>
      <c r="M7" t="s">
        <v>62</v>
      </c>
      <c r="N7" t="s">
        <v>82</v>
      </c>
      <c r="O7" t="s">
        <v>43</v>
      </c>
      <c r="P7" t="s">
        <v>83</v>
      </c>
      <c r="Q7" t="s">
        <v>84</v>
      </c>
      <c r="R7" t="s">
        <v>85</v>
      </c>
      <c r="S7">
        <v>7</v>
      </c>
      <c r="T7" s="2">
        <v>0.2</v>
      </c>
      <c r="U7" t="s">
        <v>86</v>
      </c>
      <c r="V7" t="str">
        <f>CHOOSE(MOD(SalesData[[#This Row],[Row ID]]-1,8)+1,"Aarav Sharma","Ananya Singh","Rohan Verma","Priya Gupta","Arjun Mehta","Neha Kapoor","Rahul Joshi","Sneha Patel")</f>
        <v>Sneha Patel</v>
      </c>
      <c r="W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7" s="8">
        <f>IFERROR(VALUE(SUBSTITUTE(SUBSTITUTE(SalesData[[#This Row],[Profit]],"$",""),",",""))/VALUE(SUBSTITUTE(SUBSTITUTE(SalesData[[#This Row],[Sales]],"$",""),",","")),0)</f>
        <v>9.6245961902640093E-2</v>
      </c>
      <c r="Y7" s="6">
        <f>IFERROR(VALUE(SUBSTITUTE(SUBSTITUTE(SalesData[[#This Row],[Sales]],"$",""),",",""))/SalesData[[#This Row],[Quantity]],0)</f>
        <v>12.824285714285713</v>
      </c>
      <c r="Z7">
        <f>YEAR(SalesData[[#This Row],[Order Date]])</f>
        <v>2022</v>
      </c>
      <c r="AA7" t="str">
        <f>TEXT(SalesData[[#This Row],[Order Date]],"mmm")</f>
        <v>Jan</v>
      </c>
      <c r="AB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8" spans="1:28">
      <c r="A8">
        <v>175</v>
      </c>
      <c r="B8" t="s">
        <v>87</v>
      </c>
      <c r="C8" s="1">
        <v>44573</v>
      </c>
      <c r="D8" s="1">
        <v>44574</v>
      </c>
      <c r="E8" t="s">
        <v>22</v>
      </c>
      <c r="F8" t="s">
        <v>88</v>
      </c>
      <c r="G8" t="s">
        <v>59</v>
      </c>
      <c r="H8" t="s">
        <v>60</v>
      </c>
      <c r="I8" t="s">
        <v>26</v>
      </c>
      <c r="J8" t="s">
        <v>52</v>
      </c>
      <c r="K8" t="s">
        <v>52</v>
      </c>
      <c r="L8">
        <v>12204</v>
      </c>
      <c r="M8" t="s">
        <v>41</v>
      </c>
      <c r="N8" t="s">
        <v>89</v>
      </c>
      <c r="O8" t="s">
        <v>43</v>
      </c>
      <c r="P8" t="s">
        <v>44</v>
      </c>
      <c r="Q8" t="s">
        <v>90</v>
      </c>
      <c r="R8" t="s">
        <v>91</v>
      </c>
      <c r="S8">
        <v>1</v>
      </c>
      <c r="T8" s="2">
        <v>0.2</v>
      </c>
      <c r="U8" t="s">
        <v>92</v>
      </c>
      <c r="V8" t="str">
        <f>CHOOSE(MOD(SalesData[[#This Row],[Row ID]]-1,8)+1,"Aarav Sharma","Ananya Singh","Rohan Verma","Priya Gupta","Arjun Mehta","Neha Kapoor","Rahul Joshi","Sneha Patel")</f>
        <v>Rahul Joshi</v>
      </c>
      <c r="W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8" s="8">
        <f>IFERROR(VALUE(SUBSTITUTE(SUBSTITUTE(SalesData[[#This Row],[Profit]],"$",""),",",""))/VALUE(SUBSTITUTE(SUBSTITUTE(SalesData[[#This Row],[Sales]],"$",""),",","")),0)</f>
        <v>1.2878787878787878E-2</v>
      </c>
      <c r="Y8" s="6">
        <f>IFERROR(VALUE(SUBSTITUTE(SUBSTITUTE(SalesData[[#This Row],[Sales]],"$",""),",",""))/SalesData[[#This Row],[Quantity]],0)</f>
        <v>39.6</v>
      </c>
      <c r="Z8">
        <f>YEAR(SalesData[[#This Row],[Order Date]])</f>
        <v>2022</v>
      </c>
      <c r="AA8" t="str">
        <f>TEXT(SalesData[[#This Row],[Order Date]],"mmm")</f>
        <v>Jan</v>
      </c>
      <c r="AB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9" spans="1:28">
      <c r="A9">
        <v>541</v>
      </c>
      <c r="B9" t="s">
        <v>93</v>
      </c>
      <c r="C9" s="1">
        <v>44575</v>
      </c>
      <c r="D9" s="1">
        <v>44578</v>
      </c>
      <c r="E9" t="s">
        <v>36</v>
      </c>
      <c r="F9" t="s">
        <v>94</v>
      </c>
      <c r="G9" t="s">
        <v>95</v>
      </c>
      <c r="H9" t="s">
        <v>25</v>
      </c>
      <c r="I9" t="s">
        <v>26</v>
      </c>
      <c r="J9" t="s">
        <v>96</v>
      </c>
      <c r="K9" t="s">
        <v>96</v>
      </c>
      <c r="L9">
        <v>91147</v>
      </c>
      <c r="M9" t="s">
        <v>28</v>
      </c>
      <c r="N9" t="s">
        <v>97</v>
      </c>
      <c r="O9" t="s">
        <v>64</v>
      </c>
      <c r="P9" t="s">
        <v>65</v>
      </c>
      <c r="Q9" t="s">
        <v>98</v>
      </c>
      <c r="R9" t="s">
        <v>99</v>
      </c>
      <c r="S9">
        <v>7</v>
      </c>
      <c r="T9" s="2">
        <v>0.3</v>
      </c>
      <c r="U9" t="s">
        <v>100</v>
      </c>
      <c r="V9" t="str">
        <f>CHOOSE(MOD(SalesData[[#This Row],[Row ID]]-1,8)+1,"Aarav Sharma","Ananya Singh","Rohan Verma","Priya Gupta","Arjun Mehta","Neha Kapoor","Rahul Joshi","Sneha Patel")</f>
        <v>Arjun Mehta</v>
      </c>
      <c r="W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9" s="8">
        <f>IFERROR(VALUE(SUBSTITUTE(SUBSTITUTE(SalesData[[#This Row],[Profit]],"$",""),",",""))/VALUE(SUBSTITUTE(SUBSTITUTE(SalesData[[#This Row],[Sales]],"$",""),",","")),0)</f>
        <v>3.8237154705841006E-2</v>
      </c>
      <c r="Y9" s="6">
        <f>IFERROR(VALUE(SUBSTITUTE(SUBSTITUTE(SalesData[[#This Row],[Sales]],"$",""),",",""))/SalesData[[#This Row],[Quantity]],0)</f>
        <v>40.648571428571429</v>
      </c>
      <c r="Z9">
        <f>YEAR(SalesData[[#This Row],[Order Date]])</f>
        <v>2022</v>
      </c>
      <c r="AA9" t="str">
        <f>TEXT(SalesData[[#This Row],[Order Date]],"mmm")</f>
        <v>Jan</v>
      </c>
      <c r="AB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0" spans="1:28">
      <c r="A10">
        <v>88</v>
      </c>
      <c r="B10" t="s">
        <v>101</v>
      </c>
      <c r="C10" s="1">
        <v>44582</v>
      </c>
      <c r="D10" s="1">
        <v>44586</v>
      </c>
      <c r="E10" t="s">
        <v>36</v>
      </c>
      <c r="F10" t="s">
        <v>102</v>
      </c>
      <c r="G10" t="s">
        <v>103</v>
      </c>
      <c r="H10" t="s">
        <v>60</v>
      </c>
      <c r="I10" t="s">
        <v>26</v>
      </c>
      <c r="J10" t="s">
        <v>40</v>
      </c>
      <c r="K10" t="s">
        <v>40</v>
      </c>
      <c r="L10">
        <v>80135</v>
      </c>
      <c r="M10" t="s">
        <v>41</v>
      </c>
      <c r="N10" t="s">
        <v>104</v>
      </c>
      <c r="O10" t="s">
        <v>64</v>
      </c>
      <c r="P10" t="s">
        <v>105</v>
      </c>
      <c r="Q10" t="s">
        <v>106</v>
      </c>
      <c r="R10" t="s">
        <v>107</v>
      </c>
      <c r="S10">
        <v>6</v>
      </c>
      <c r="T10" s="2">
        <v>0.15</v>
      </c>
      <c r="U10" t="s">
        <v>108</v>
      </c>
      <c r="V10" t="str">
        <f>CHOOSE(MOD(SalesData[[#This Row],[Row ID]]-1,8)+1,"Aarav Sharma","Ananya Singh","Rohan Verma","Priya Gupta","Arjun Mehta","Neha Kapoor","Rahul Joshi","Sneha Patel")</f>
        <v>Sneha Patel</v>
      </c>
      <c r="W1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0" s="8">
        <f>IFERROR(VALUE(SUBSTITUTE(SUBSTITUTE(SalesData[[#This Row],[Profit]],"$",""),",",""))/VALUE(SUBSTITUTE(SUBSTITUTE(SalesData[[#This Row],[Sales]],"$",""),",","")),0)</f>
        <v>3.7888150780163755E-2</v>
      </c>
      <c r="Y10" s="6">
        <f>IFERROR(VALUE(SUBSTITUTE(SUBSTITUTE(SalesData[[#This Row],[Sales]],"$",""),",",""))/SalesData[[#This Row],[Quantity]],0)</f>
        <v>43.153333333333336</v>
      </c>
      <c r="Z10">
        <f>YEAR(SalesData[[#This Row],[Order Date]])</f>
        <v>2022</v>
      </c>
      <c r="AA10" t="str">
        <f>TEXT(SalesData[[#This Row],[Order Date]],"mmm")</f>
        <v>Jan</v>
      </c>
      <c r="AB1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1" spans="1:28">
      <c r="A11">
        <v>477</v>
      </c>
      <c r="B11" t="s">
        <v>109</v>
      </c>
      <c r="C11" s="1">
        <v>44584</v>
      </c>
      <c r="D11" s="1">
        <v>44587</v>
      </c>
      <c r="E11" t="s">
        <v>36</v>
      </c>
      <c r="F11" t="s">
        <v>110</v>
      </c>
      <c r="G11" t="s">
        <v>111</v>
      </c>
      <c r="H11" t="s">
        <v>25</v>
      </c>
      <c r="I11" t="s">
        <v>26</v>
      </c>
      <c r="J11" t="s">
        <v>61</v>
      </c>
      <c r="K11" t="s">
        <v>61</v>
      </c>
      <c r="L11">
        <v>67395</v>
      </c>
      <c r="M11" t="s">
        <v>62</v>
      </c>
      <c r="N11" t="s">
        <v>112</v>
      </c>
      <c r="O11" t="s">
        <v>43</v>
      </c>
      <c r="P11" t="s">
        <v>83</v>
      </c>
      <c r="Q11" t="s">
        <v>113</v>
      </c>
      <c r="R11" t="s">
        <v>114</v>
      </c>
      <c r="S11">
        <v>4</v>
      </c>
      <c r="T11" s="2">
        <v>0.15</v>
      </c>
      <c r="U11" t="s">
        <v>115</v>
      </c>
      <c r="V11" t="str">
        <f>CHOOSE(MOD(SalesData[[#This Row],[Row ID]]-1,8)+1,"Aarav Sharma","Ananya Singh","Rohan Verma","Priya Gupta","Arjun Mehta","Neha Kapoor","Rahul Joshi","Sneha Patel")</f>
        <v>Arjun Mehta</v>
      </c>
      <c r="W1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1" s="8">
        <f>IFERROR(VALUE(SUBSTITUTE(SUBSTITUTE(SalesData[[#This Row],[Profit]],"$",""),",",""))/VALUE(SUBSTITUTE(SUBSTITUTE(SalesData[[#This Row],[Sales]],"$",""),",","")),0)</f>
        <v>0.20644761314321142</v>
      </c>
      <c r="Y11" s="6">
        <f>IFERROR(VALUE(SUBSTITUTE(SUBSTITUTE(SalesData[[#This Row],[Sales]],"$",""),",",""))/SalesData[[#This Row],[Quantity]],0)</f>
        <v>4.0324999999999998</v>
      </c>
      <c r="Z11">
        <f>YEAR(SalesData[[#This Row],[Order Date]])</f>
        <v>2022</v>
      </c>
      <c r="AA11" t="str">
        <f>TEXT(SalesData[[#This Row],[Order Date]],"mmm")</f>
        <v>Jan</v>
      </c>
      <c r="AB1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2" spans="1:28">
      <c r="A12">
        <v>163</v>
      </c>
      <c r="B12" t="s">
        <v>116</v>
      </c>
      <c r="C12" s="1">
        <v>44586</v>
      </c>
      <c r="D12" s="1">
        <v>44590</v>
      </c>
      <c r="E12" t="s">
        <v>49</v>
      </c>
      <c r="F12" t="s">
        <v>117</v>
      </c>
      <c r="G12" t="s">
        <v>118</v>
      </c>
      <c r="H12" t="s">
        <v>60</v>
      </c>
      <c r="I12" t="s">
        <v>26</v>
      </c>
      <c r="J12" t="s">
        <v>52</v>
      </c>
      <c r="K12" t="s">
        <v>52</v>
      </c>
      <c r="L12">
        <v>18605</v>
      </c>
      <c r="M12" t="s">
        <v>41</v>
      </c>
      <c r="N12" t="s">
        <v>119</v>
      </c>
      <c r="O12" t="s">
        <v>30</v>
      </c>
      <c r="P12" t="s">
        <v>120</v>
      </c>
      <c r="Q12" t="s">
        <v>121</v>
      </c>
      <c r="R12" t="s">
        <v>122</v>
      </c>
      <c r="S12">
        <v>4</v>
      </c>
      <c r="T12" s="2">
        <v>0.2</v>
      </c>
      <c r="U12" t="s">
        <v>123</v>
      </c>
      <c r="V12" t="str">
        <f>CHOOSE(MOD(SalesData[[#This Row],[Row ID]]-1,8)+1,"Aarav Sharma","Ananya Singh","Rohan Verma","Priya Gupta","Arjun Mehta","Neha Kapoor","Rahul Joshi","Sneha Patel")</f>
        <v>Rohan Verma</v>
      </c>
      <c r="W1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2" s="8">
        <f>IFERROR(VALUE(SUBSTITUTE(SUBSTITUTE(SalesData[[#This Row],[Profit]],"$",""),",",""))/VALUE(SUBSTITUTE(SUBSTITUTE(SalesData[[#This Row],[Sales]],"$",""),",","")),0)</f>
        <v>-1.5018601019611446E-2</v>
      </c>
      <c r="Y12" s="6">
        <f>IFERROR(VALUE(SUBSTITUTE(SUBSTITUTE(SalesData[[#This Row],[Sales]],"$",""),",",""))/SalesData[[#This Row],[Quantity]],0)</f>
        <v>54.432499999999997</v>
      </c>
      <c r="Z12">
        <f>YEAR(SalesData[[#This Row],[Order Date]])</f>
        <v>2022</v>
      </c>
      <c r="AA12" t="str">
        <f>TEXT(SalesData[[#This Row],[Order Date]],"mmm")</f>
        <v>Jan</v>
      </c>
      <c r="AB1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3" spans="1:28">
      <c r="A13">
        <v>433</v>
      </c>
      <c r="B13" t="s">
        <v>124</v>
      </c>
      <c r="C13" s="1">
        <v>44587</v>
      </c>
      <c r="D13" s="1">
        <v>44591</v>
      </c>
      <c r="E13" t="s">
        <v>36</v>
      </c>
      <c r="F13" t="s">
        <v>125</v>
      </c>
      <c r="G13" t="s">
        <v>126</v>
      </c>
      <c r="H13" t="s">
        <v>25</v>
      </c>
      <c r="I13" t="s">
        <v>26</v>
      </c>
      <c r="J13" t="s">
        <v>27</v>
      </c>
      <c r="K13" t="s">
        <v>27</v>
      </c>
      <c r="L13">
        <v>44815</v>
      </c>
      <c r="M13" t="s">
        <v>28</v>
      </c>
      <c r="N13" t="s">
        <v>127</v>
      </c>
      <c r="O13" t="s">
        <v>43</v>
      </c>
      <c r="P13" t="s">
        <v>128</v>
      </c>
      <c r="Q13" t="s">
        <v>129</v>
      </c>
      <c r="R13" t="s">
        <v>130</v>
      </c>
      <c r="S13">
        <v>6</v>
      </c>
      <c r="T13" s="2">
        <v>0.15</v>
      </c>
      <c r="U13" t="s">
        <v>131</v>
      </c>
      <c r="V13" t="str">
        <f>CHOOSE(MOD(SalesData[[#This Row],[Row ID]]-1,8)+1,"Aarav Sharma","Ananya Singh","Rohan Verma","Priya Gupta","Arjun Mehta","Neha Kapoor","Rahul Joshi","Sneha Patel")</f>
        <v>Aarav Sharma</v>
      </c>
      <c r="W1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3" s="8">
        <f>IFERROR(VALUE(SUBSTITUTE(SUBSTITUTE(SalesData[[#This Row],[Profit]],"$",""),",",""))/VALUE(SUBSTITUTE(SUBSTITUTE(SalesData[[#This Row],[Sales]],"$",""),",","")),0)</f>
        <v>0.19307036247334755</v>
      </c>
      <c r="Y13" s="6">
        <f>IFERROR(VALUE(SUBSTITUTE(SUBSTITUTE(SalesData[[#This Row],[Sales]],"$",""),",",""))/SalesData[[#This Row],[Quantity]],0)</f>
        <v>15.633333333333333</v>
      </c>
      <c r="Z13">
        <f>YEAR(SalesData[[#This Row],[Order Date]])</f>
        <v>2022</v>
      </c>
      <c r="AA13" t="str">
        <f>TEXT(SalesData[[#This Row],[Order Date]],"mmm")</f>
        <v>Jan</v>
      </c>
      <c r="AB1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4" spans="1:28">
      <c r="A14">
        <v>62</v>
      </c>
      <c r="B14" t="s">
        <v>132</v>
      </c>
      <c r="C14" s="1">
        <v>44588</v>
      </c>
      <c r="D14" s="1">
        <v>44593</v>
      </c>
      <c r="E14" t="s">
        <v>49</v>
      </c>
      <c r="F14" t="s">
        <v>133</v>
      </c>
      <c r="G14" t="s">
        <v>134</v>
      </c>
      <c r="H14" t="s">
        <v>39</v>
      </c>
      <c r="I14" t="s">
        <v>26</v>
      </c>
      <c r="J14" t="s">
        <v>81</v>
      </c>
      <c r="K14" t="s">
        <v>81</v>
      </c>
      <c r="L14">
        <v>71120</v>
      </c>
      <c r="M14" t="s">
        <v>62</v>
      </c>
      <c r="N14" t="s">
        <v>135</v>
      </c>
      <c r="O14" t="s">
        <v>64</v>
      </c>
      <c r="P14" t="s">
        <v>136</v>
      </c>
      <c r="Q14" t="s">
        <v>137</v>
      </c>
      <c r="R14" t="s">
        <v>138</v>
      </c>
      <c r="S14">
        <v>2</v>
      </c>
      <c r="T14" s="2">
        <v>0.15</v>
      </c>
      <c r="U14" t="s">
        <v>139</v>
      </c>
      <c r="V14" t="str">
        <f>CHOOSE(MOD(SalesData[[#This Row],[Row ID]]-1,8)+1,"Aarav Sharma","Ananya Singh","Rohan Verma","Priya Gupta","Arjun Mehta","Neha Kapoor","Rahul Joshi","Sneha Patel")</f>
        <v>Neha Kapoor</v>
      </c>
      <c r="W1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4" s="8">
        <f>IFERROR(VALUE(SUBSTITUTE(SUBSTITUTE(SalesData[[#This Row],[Profit]],"$",""),",",""))/VALUE(SUBSTITUTE(SUBSTITUTE(SalesData[[#This Row],[Sales]],"$",""),",","")),0)</f>
        <v>0.20879574665771952</v>
      </c>
      <c r="Y14" s="6">
        <f>IFERROR(VALUE(SUBSTITUTE(SUBSTITUTE(SalesData[[#This Row],[Sales]],"$",""),",",""))/SalesData[[#This Row],[Quantity]],0)</f>
        <v>96.864999999999995</v>
      </c>
      <c r="Z14">
        <f>YEAR(SalesData[[#This Row],[Order Date]])</f>
        <v>2022</v>
      </c>
      <c r="AA14" t="str">
        <f>TEXT(SalesData[[#This Row],[Order Date]],"mmm")</f>
        <v>Jan</v>
      </c>
      <c r="AB1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5" spans="1:28">
      <c r="A15">
        <v>255</v>
      </c>
      <c r="B15" t="s">
        <v>140</v>
      </c>
      <c r="C15" s="1">
        <v>44591</v>
      </c>
      <c r="D15" s="1">
        <v>44595</v>
      </c>
      <c r="E15" t="s">
        <v>49</v>
      </c>
      <c r="F15" t="s">
        <v>141</v>
      </c>
      <c r="G15" t="s">
        <v>142</v>
      </c>
      <c r="H15" t="s">
        <v>25</v>
      </c>
      <c r="I15" t="s">
        <v>26</v>
      </c>
      <c r="J15" t="s">
        <v>81</v>
      </c>
      <c r="K15" t="s">
        <v>81</v>
      </c>
      <c r="L15">
        <v>60772</v>
      </c>
      <c r="M15" t="s">
        <v>62</v>
      </c>
      <c r="N15" t="s">
        <v>143</v>
      </c>
      <c r="O15" t="s">
        <v>30</v>
      </c>
      <c r="P15" t="s">
        <v>120</v>
      </c>
      <c r="Q15" t="s">
        <v>144</v>
      </c>
      <c r="R15" t="s">
        <v>145</v>
      </c>
      <c r="S15">
        <v>2</v>
      </c>
      <c r="T15" s="2">
        <v>0.1</v>
      </c>
      <c r="U15" t="s">
        <v>146</v>
      </c>
      <c r="V15" t="str">
        <f>CHOOSE(MOD(SalesData[[#This Row],[Row ID]]-1,8)+1,"Aarav Sharma","Ananya Singh","Rohan Verma","Priya Gupta","Arjun Mehta","Neha Kapoor","Rahul Joshi","Sneha Patel")</f>
        <v>Rahul Joshi</v>
      </c>
      <c r="W1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5" s="8">
        <f>IFERROR(VALUE(SUBSTITUTE(SUBSTITUTE(SalesData[[#This Row],[Profit]],"$",""),",",""))/VALUE(SUBSTITUTE(SUBSTITUTE(SalesData[[#This Row],[Sales]],"$",""),",","")),0)</f>
        <v>7.932427469702534E-2</v>
      </c>
      <c r="Y15" s="6">
        <f>IFERROR(VALUE(SUBSTITUTE(SUBSTITUTE(SalesData[[#This Row],[Sales]],"$",""),",",""))/SalesData[[#This Row],[Quantity]],0)</f>
        <v>27.23</v>
      </c>
      <c r="Z15">
        <f>YEAR(SalesData[[#This Row],[Order Date]])</f>
        <v>2022</v>
      </c>
      <c r="AA15" t="str">
        <f>TEXT(SalesData[[#This Row],[Order Date]],"mmm")</f>
        <v>Jan</v>
      </c>
      <c r="AB1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6" spans="1:28">
      <c r="A16">
        <v>387</v>
      </c>
      <c r="B16" t="s">
        <v>147</v>
      </c>
      <c r="C16" s="1">
        <v>44592</v>
      </c>
      <c r="D16" s="1">
        <v>44595</v>
      </c>
      <c r="E16" t="s">
        <v>36</v>
      </c>
      <c r="F16" t="s">
        <v>148</v>
      </c>
      <c r="G16" t="s">
        <v>149</v>
      </c>
      <c r="H16" t="s">
        <v>25</v>
      </c>
      <c r="I16" t="s">
        <v>26</v>
      </c>
      <c r="J16" t="s">
        <v>150</v>
      </c>
      <c r="K16" t="s">
        <v>150</v>
      </c>
      <c r="L16">
        <v>85761</v>
      </c>
      <c r="M16" t="s">
        <v>73</v>
      </c>
      <c r="N16" t="s">
        <v>151</v>
      </c>
      <c r="O16" t="s">
        <v>30</v>
      </c>
      <c r="P16" t="s">
        <v>31</v>
      </c>
      <c r="Q16" t="s">
        <v>32</v>
      </c>
      <c r="R16" t="s">
        <v>152</v>
      </c>
      <c r="S16">
        <v>5</v>
      </c>
      <c r="T16" s="2">
        <v>0.4</v>
      </c>
      <c r="U16" t="s">
        <v>153</v>
      </c>
      <c r="V16" t="str">
        <f>CHOOSE(MOD(SalesData[[#This Row],[Row ID]]-1,8)+1,"Aarav Sharma","Ananya Singh","Rohan Verma","Priya Gupta","Arjun Mehta","Neha Kapoor","Rahul Joshi","Sneha Patel")</f>
        <v>Rohan Verma</v>
      </c>
      <c r="W1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6" s="8">
        <f>IFERROR(VALUE(SUBSTITUTE(SUBSTITUTE(SalesData[[#This Row],[Profit]],"$",""),",",""))/VALUE(SUBSTITUTE(SUBSTITUTE(SalesData[[#This Row],[Sales]],"$",""),",","")),0)</f>
        <v>-0.10225631479282345</v>
      </c>
      <c r="Y16" s="6">
        <f>IFERROR(VALUE(SUBSTITUTE(SUBSTITUTE(SalesData[[#This Row],[Sales]],"$",""),",",""))/SalesData[[#This Row],[Quantity]],0)</f>
        <v>62.314</v>
      </c>
      <c r="Z16">
        <f>YEAR(SalesData[[#This Row],[Order Date]])</f>
        <v>2022</v>
      </c>
      <c r="AA16" t="str">
        <f>TEXT(SalesData[[#This Row],[Order Date]],"mmm")</f>
        <v>Jan</v>
      </c>
      <c r="AB1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7" spans="1:28">
      <c r="A17">
        <v>543</v>
      </c>
      <c r="B17" t="s">
        <v>154</v>
      </c>
      <c r="C17" s="1">
        <v>44593</v>
      </c>
      <c r="D17" s="1">
        <v>44599</v>
      </c>
      <c r="E17" t="s">
        <v>49</v>
      </c>
      <c r="F17" t="s">
        <v>155</v>
      </c>
      <c r="G17" t="s">
        <v>156</v>
      </c>
      <c r="H17" t="s">
        <v>25</v>
      </c>
      <c r="I17" t="s">
        <v>26</v>
      </c>
      <c r="J17" t="s">
        <v>157</v>
      </c>
      <c r="K17" t="s">
        <v>157</v>
      </c>
      <c r="L17">
        <v>32703</v>
      </c>
      <c r="M17" t="s">
        <v>62</v>
      </c>
      <c r="N17" t="s">
        <v>158</v>
      </c>
      <c r="O17" t="s">
        <v>30</v>
      </c>
      <c r="P17" t="s">
        <v>120</v>
      </c>
      <c r="Q17" t="s">
        <v>159</v>
      </c>
      <c r="R17" t="s">
        <v>160</v>
      </c>
      <c r="S17">
        <v>5</v>
      </c>
      <c r="T17" s="2">
        <v>0.15</v>
      </c>
      <c r="U17" t="s">
        <v>161</v>
      </c>
      <c r="V17" t="str">
        <f>CHOOSE(MOD(SalesData[[#This Row],[Row ID]]-1,8)+1,"Aarav Sharma","Ananya Singh","Rohan Verma","Priya Gupta","Arjun Mehta","Neha Kapoor","Rahul Joshi","Sneha Patel")</f>
        <v>Rahul Joshi</v>
      </c>
      <c r="W1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7" s="8">
        <f>IFERROR(VALUE(SUBSTITUTE(SUBSTITUTE(SalesData[[#This Row],[Profit]],"$",""),",",""))/VALUE(SUBSTITUTE(SUBSTITUTE(SalesData[[#This Row],[Sales]],"$",""),",","")),0)</f>
        <v>1.134043015424723E-2</v>
      </c>
      <c r="Y17" s="6">
        <f>IFERROR(VALUE(SUBSTITUTE(SUBSTITUTE(SalesData[[#This Row],[Sales]],"$",""),",",""))/SalesData[[#This Row],[Quantity]],0)</f>
        <v>46.03</v>
      </c>
      <c r="Z17">
        <f>YEAR(SalesData[[#This Row],[Order Date]])</f>
        <v>2022</v>
      </c>
      <c r="AA17" t="str">
        <f>TEXT(SalesData[[#This Row],[Order Date]],"mmm")</f>
        <v>Feb</v>
      </c>
      <c r="AB1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8" spans="1:28">
      <c r="A18">
        <v>43</v>
      </c>
      <c r="B18" t="s">
        <v>162</v>
      </c>
      <c r="C18" s="1">
        <v>44595</v>
      </c>
      <c r="D18" s="1">
        <v>44598</v>
      </c>
      <c r="E18" t="s">
        <v>36</v>
      </c>
      <c r="F18" t="s">
        <v>163</v>
      </c>
      <c r="G18" t="s">
        <v>164</v>
      </c>
      <c r="H18" t="s">
        <v>25</v>
      </c>
      <c r="I18" t="s">
        <v>26</v>
      </c>
      <c r="J18" t="s">
        <v>27</v>
      </c>
      <c r="K18" t="s">
        <v>27</v>
      </c>
      <c r="L18">
        <v>11605</v>
      </c>
      <c r="M18" t="s">
        <v>28</v>
      </c>
      <c r="N18" t="s">
        <v>165</v>
      </c>
      <c r="O18" t="s">
        <v>43</v>
      </c>
      <c r="P18" t="s">
        <v>166</v>
      </c>
      <c r="Q18" t="s">
        <v>167</v>
      </c>
      <c r="R18" t="s">
        <v>168</v>
      </c>
      <c r="S18">
        <v>2</v>
      </c>
      <c r="T18" s="2">
        <v>0.05</v>
      </c>
      <c r="U18" t="s">
        <v>169</v>
      </c>
      <c r="V18" t="str">
        <f>CHOOSE(MOD(SalesData[[#This Row],[Row ID]]-1,8)+1,"Aarav Sharma","Ananya Singh","Rohan Verma","Priya Gupta","Arjun Mehta","Neha Kapoor","Rahul Joshi","Sneha Patel")</f>
        <v>Rohan Verma</v>
      </c>
      <c r="W1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8" s="8">
        <f>IFERROR(VALUE(SUBSTITUTE(SUBSTITUTE(SalesData[[#This Row],[Profit]],"$",""),",",""))/VALUE(SUBSTITUTE(SUBSTITUTE(SalesData[[#This Row],[Sales]],"$",""),",","")),0)</f>
        <v>8.3913649025069648E-2</v>
      </c>
      <c r="Y18" s="6">
        <f>IFERROR(VALUE(SUBSTITUTE(SUBSTITUTE(SalesData[[#This Row],[Sales]],"$",""),",",""))/SalesData[[#This Row],[Quantity]],0)</f>
        <v>57.44</v>
      </c>
      <c r="Z18">
        <f>YEAR(SalesData[[#This Row],[Order Date]])</f>
        <v>2022</v>
      </c>
      <c r="AA18" t="str">
        <f>TEXT(SalesData[[#This Row],[Order Date]],"mmm")</f>
        <v>Feb</v>
      </c>
      <c r="AB1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9" spans="1:28">
      <c r="A19">
        <v>408</v>
      </c>
      <c r="B19" t="s">
        <v>170</v>
      </c>
      <c r="C19" s="1">
        <v>44599</v>
      </c>
      <c r="D19" s="1">
        <v>44602</v>
      </c>
      <c r="E19" t="s">
        <v>49</v>
      </c>
      <c r="F19" t="s">
        <v>171</v>
      </c>
      <c r="G19" t="s">
        <v>172</v>
      </c>
      <c r="H19" t="s">
        <v>39</v>
      </c>
      <c r="I19" t="s">
        <v>26</v>
      </c>
      <c r="J19" t="s">
        <v>173</v>
      </c>
      <c r="K19" t="s">
        <v>173</v>
      </c>
      <c r="L19">
        <v>93641</v>
      </c>
      <c r="M19" t="s">
        <v>73</v>
      </c>
      <c r="N19" t="s">
        <v>174</v>
      </c>
      <c r="O19" t="s">
        <v>43</v>
      </c>
      <c r="P19" t="s">
        <v>128</v>
      </c>
      <c r="Q19" t="s">
        <v>175</v>
      </c>
      <c r="R19" t="s">
        <v>176</v>
      </c>
      <c r="S19">
        <v>5</v>
      </c>
      <c r="T19" s="2">
        <v>0.1</v>
      </c>
      <c r="U19" t="s">
        <v>177</v>
      </c>
      <c r="V19" t="str">
        <f>CHOOSE(MOD(SalesData[[#This Row],[Row ID]]-1,8)+1,"Aarav Sharma","Ananya Singh","Rohan Verma","Priya Gupta","Arjun Mehta","Neha Kapoor","Rahul Joshi","Sneha Patel")</f>
        <v>Sneha Patel</v>
      </c>
      <c r="W1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9" s="8">
        <f>IFERROR(VALUE(SUBSTITUTE(SUBSTITUTE(SalesData[[#This Row],[Profit]],"$",""),",",""))/VALUE(SUBSTITUTE(SUBSTITUTE(SalesData[[#This Row],[Sales]],"$",""),",","")),0)</f>
        <v>0.21508014393195943</v>
      </c>
      <c r="Y19" s="6">
        <f>IFERROR(VALUE(SUBSTITUTE(SUBSTITUTE(SalesData[[#This Row],[Sales]],"$",""),",",""))/SalesData[[#This Row],[Quantity]],0)</f>
        <v>12.228</v>
      </c>
      <c r="Z19">
        <f>YEAR(SalesData[[#This Row],[Order Date]])</f>
        <v>2022</v>
      </c>
      <c r="AA19" t="str">
        <f>TEXT(SalesData[[#This Row],[Order Date]],"mmm")</f>
        <v>Feb</v>
      </c>
      <c r="AB1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0" spans="1:28">
      <c r="A20">
        <v>201</v>
      </c>
      <c r="B20" t="s">
        <v>178</v>
      </c>
      <c r="C20" s="1">
        <v>44600</v>
      </c>
      <c r="D20" s="1">
        <v>44602</v>
      </c>
      <c r="E20" t="s">
        <v>36</v>
      </c>
      <c r="F20" t="s">
        <v>179</v>
      </c>
      <c r="G20" t="s">
        <v>180</v>
      </c>
      <c r="H20" t="s">
        <v>25</v>
      </c>
      <c r="I20" t="s">
        <v>26</v>
      </c>
      <c r="J20" t="s">
        <v>52</v>
      </c>
      <c r="K20" t="s">
        <v>52</v>
      </c>
      <c r="L20">
        <v>93104</v>
      </c>
      <c r="M20" t="s">
        <v>41</v>
      </c>
      <c r="N20" t="s">
        <v>181</v>
      </c>
      <c r="O20" t="s">
        <v>30</v>
      </c>
      <c r="P20" t="s">
        <v>120</v>
      </c>
      <c r="Q20" t="s">
        <v>182</v>
      </c>
      <c r="R20" t="s">
        <v>183</v>
      </c>
      <c r="S20">
        <v>3</v>
      </c>
      <c r="T20" s="2">
        <v>0.05</v>
      </c>
      <c r="U20" t="s">
        <v>184</v>
      </c>
      <c r="V20" t="str">
        <f>CHOOSE(MOD(SalesData[[#This Row],[Row ID]]-1,8)+1,"Aarav Sharma","Ananya Singh","Rohan Verma","Priya Gupta","Arjun Mehta","Neha Kapoor","Rahul Joshi","Sneha Patel")</f>
        <v>Aarav Sharma</v>
      </c>
      <c r="W2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0" s="8">
        <f>IFERROR(VALUE(SUBSTITUTE(SUBSTITUTE(SalesData[[#This Row],[Profit]],"$",""),",",""))/VALUE(SUBSTITUTE(SUBSTITUTE(SalesData[[#This Row],[Sales]],"$",""),",","")),0)</f>
        <v>0.10448003462828698</v>
      </c>
      <c r="Y20" s="6">
        <f>IFERROR(VALUE(SUBSTITUTE(SUBSTITUTE(SalesData[[#This Row],[Sales]],"$",""),",",""))/SalesData[[#This Row],[Quantity]],0)</f>
        <v>123.21333333333332</v>
      </c>
      <c r="Z20">
        <f>YEAR(SalesData[[#This Row],[Order Date]])</f>
        <v>2022</v>
      </c>
      <c r="AA20" t="str">
        <f>TEXT(SalesData[[#This Row],[Order Date]],"mmm")</f>
        <v>Feb</v>
      </c>
      <c r="AB2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1" spans="1:28">
      <c r="A21">
        <v>413</v>
      </c>
      <c r="B21" t="s">
        <v>185</v>
      </c>
      <c r="C21" s="1">
        <v>44608</v>
      </c>
      <c r="D21" s="1">
        <v>44611</v>
      </c>
      <c r="E21" t="s">
        <v>36</v>
      </c>
      <c r="F21" t="s">
        <v>186</v>
      </c>
      <c r="G21" t="s">
        <v>187</v>
      </c>
      <c r="H21" t="s">
        <v>39</v>
      </c>
      <c r="I21" t="s">
        <v>26</v>
      </c>
      <c r="J21" t="s">
        <v>81</v>
      </c>
      <c r="K21" t="s">
        <v>81</v>
      </c>
      <c r="L21">
        <v>71082</v>
      </c>
      <c r="M21" t="s">
        <v>62</v>
      </c>
      <c r="N21" t="s">
        <v>188</v>
      </c>
      <c r="O21" t="s">
        <v>43</v>
      </c>
      <c r="P21" t="s">
        <v>189</v>
      </c>
      <c r="Q21" t="s">
        <v>190</v>
      </c>
      <c r="R21" t="s">
        <v>191</v>
      </c>
      <c r="S21">
        <v>1</v>
      </c>
      <c r="T21" s="2">
        <v>0.2</v>
      </c>
      <c r="U21" t="s">
        <v>192</v>
      </c>
      <c r="V21" t="str">
        <f>CHOOSE(MOD(SalesData[[#This Row],[Row ID]]-1,8)+1,"Aarav Sharma","Ananya Singh","Rohan Verma","Priya Gupta","Arjun Mehta","Neha Kapoor","Rahul Joshi","Sneha Patel")</f>
        <v>Arjun Mehta</v>
      </c>
      <c r="W2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1" s="8">
        <f>IFERROR(VALUE(SUBSTITUTE(SUBSTITUTE(SalesData[[#This Row],[Profit]],"$",""),",",""))/VALUE(SUBSTITUTE(SUBSTITUTE(SalesData[[#This Row],[Sales]],"$",""),",","")),0)</f>
        <v>4.1534095794995271E-2</v>
      </c>
      <c r="Y21" s="6">
        <f>IFERROR(VALUE(SUBSTITUTE(SUBSTITUTE(SalesData[[#This Row],[Sales]],"$",""),",",""))/SalesData[[#This Row],[Quantity]],0)</f>
        <v>116.29</v>
      </c>
      <c r="Z21">
        <f>YEAR(SalesData[[#This Row],[Order Date]])</f>
        <v>2022</v>
      </c>
      <c r="AA21" t="str">
        <f>TEXT(SalesData[[#This Row],[Order Date]],"mmm")</f>
        <v>Feb</v>
      </c>
      <c r="AB2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2" spans="1:28">
      <c r="A22">
        <v>293</v>
      </c>
      <c r="B22" t="s">
        <v>193</v>
      </c>
      <c r="C22" s="1">
        <v>44609</v>
      </c>
      <c r="D22" s="1">
        <v>44611</v>
      </c>
      <c r="E22" t="s">
        <v>36</v>
      </c>
      <c r="F22" t="s">
        <v>194</v>
      </c>
      <c r="G22" t="s">
        <v>195</v>
      </c>
      <c r="H22" t="s">
        <v>39</v>
      </c>
      <c r="I22" t="s">
        <v>26</v>
      </c>
      <c r="J22" t="s">
        <v>40</v>
      </c>
      <c r="K22" t="s">
        <v>40</v>
      </c>
      <c r="L22">
        <v>37856</v>
      </c>
      <c r="M22" t="s">
        <v>41</v>
      </c>
      <c r="N22" t="s">
        <v>196</v>
      </c>
      <c r="O22" t="s">
        <v>30</v>
      </c>
      <c r="P22" t="s">
        <v>197</v>
      </c>
      <c r="Q22" t="s">
        <v>198</v>
      </c>
      <c r="R22" t="s">
        <v>199</v>
      </c>
      <c r="S22">
        <v>1</v>
      </c>
      <c r="T22" s="2">
        <v>0.1</v>
      </c>
      <c r="U22" t="s">
        <v>200</v>
      </c>
      <c r="V22" t="str">
        <f>CHOOSE(MOD(SalesData[[#This Row],[Row ID]]-1,8)+1,"Aarav Sharma","Ananya Singh","Rohan Verma","Priya Gupta","Arjun Mehta","Neha Kapoor","Rahul Joshi","Sneha Patel")</f>
        <v>Arjun Mehta</v>
      </c>
      <c r="W2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2" s="8">
        <f>IFERROR(VALUE(SUBSTITUTE(SUBSTITUTE(SalesData[[#This Row],[Profit]],"$",""),",",""))/VALUE(SUBSTITUTE(SUBSTITUTE(SalesData[[#This Row],[Sales]],"$",""),",","")),0)</f>
        <v>-3.8282584368926325E-3</v>
      </c>
      <c r="Y22" s="6">
        <f>IFERROR(VALUE(SUBSTITUTE(SUBSTITUTE(SalesData[[#This Row],[Sales]],"$",""),",",""))/SalesData[[#This Row],[Quantity]],0)</f>
        <v>339.58</v>
      </c>
      <c r="Z22">
        <f>YEAR(SalesData[[#This Row],[Order Date]])</f>
        <v>2022</v>
      </c>
      <c r="AA22" t="str">
        <f>TEXT(SalesData[[#This Row],[Order Date]],"mmm")</f>
        <v>Feb</v>
      </c>
      <c r="AB2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3" spans="1:28">
      <c r="A23">
        <v>128</v>
      </c>
      <c r="B23" t="s">
        <v>201</v>
      </c>
      <c r="C23" s="1">
        <v>44610</v>
      </c>
      <c r="D23" s="1">
        <v>44613</v>
      </c>
      <c r="E23" t="s">
        <v>36</v>
      </c>
      <c r="F23" t="s">
        <v>202</v>
      </c>
      <c r="G23" t="s">
        <v>203</v>
      </c>
      <c r="H23" t="s">
        <v>39</v>
      </c>
      <c r="I23" t="s">
        <v>26</v>
      </c>
      <c r="J23" t="s">
        <v>204</v>
      </c>
      <c r="K23" t="s">
        <v>204</v>
      </c>
      <c r="L23">
        <v>17710</v>
      </c>
      <c r="M23" t="s">
        <v>28</v>
      </c>
      <c r="N23" t="s">
        <v>205</v>
      </c>
      <c r="O23" t="s">
        <v>43</v>
      </c>
      <c r="P23" t="s">
        <v>189</v>
      </c>
      <c r="Q23" t="s">
        <v>206</v>
      </c>
      <c r="R23" t="s">
        <v>207</v>
      </c>
      <c r="S23">
        <v>1</v>
      </c>
      <c r="T23" s="2">
        <v>0</v>
      </c>
      <c r="U23" t="s">
        <v>208</v>
      </c>
      <c r="V23" t="str">
        <f>CHOOSE(MOD(SalesData[[#This Row],[Row ID]]-1,8)+1,"Aarav Sharma","Ananya Singh","Rohan Verma","Priya Gupta","Arjun Mehta","Neha Kapoor","Rahul Joshi","Sneha Patel")</f>
        <v>Sneha Patel</v>
      </c>
      <c r="W2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3" s="8">
        <f>IFERROR(VALUE(SUBSTITUTE(SUBSTITUTE(SalesData[[#This Row],[Profit]],"$",""),",",""))/VALUE(SUBSTITUTE(SUBSTITUTE(SalesData[[#This Row],[Sales]],"$",""),",","")),0)</f>
        <v>0.22160094173042968</v>
      </c>
      <c r="Y23" s="6">
        <f>IFERROR(VALUE(SUBSTITUTE(SUBSTITUTE(SalesData[[#This Row],[Sales]],"$",""),",",""))/SalesData[[#This Row],[Quantity]],0)</f>
        <v>67.959999999999994</v>
      </c>
      <c r="Z23">
        <f>YEAR(SalesData[[#This Row],[Order Date]])</f>
        <v>2022</v>
      </c>
      <c r="AA23" t="str">
        <f>TEXT(SalesData[[#This Row],[Order Date]],"mmm")</f>
        <v>Feb</v>
      </c>
      <c r="AB2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4" spans="1:28">
      <c r="A24">
        <v>381</v>
      </c>
      <c r="B24" t="s">
        <v>209</v>
      </c>
      <c r="C24" s="1">
        <v>44611</v>
      </c>
      <c r="D24" s="1">
        <v>44614</v>
      </c>
      <c r="E24" t="s">
        <v>36</v>
      </c>
      <c r="F24" t="s">
        <v>210</v>
      </c>
      <c r="G24" t="s">
        <v>211</v>
      </c>
      <c r="H24" t="s">
        <v>25</v>
      </c>
      <c r="I24" t="s">
        <v>26</v>
      </c>
      <c r="J24" t="s">
        <v>212</v>
      </c>
      <c r="K24" t="s">
        <v>212</v>
      </c>
      <c r="L24">
        <v>81218</v>
      </c>
      <c r="M24" t="s">
        <v>28</v>
      </c>
      <c r="N24" t="s">
        <v>213</v>
      </c>
      <c r="O24" t="s">
        <v>43</v>
      </c>
      <c r="P24" t="s">
        <v>214</v>
      </c>
      <c r="Q24" t="s">
        <v>215</v>
      </c>
      <c r="R24" t="s">
        <v>216</v>
      </c>
      <c r="S24">
        <v>6</v>
      </c>
      <c r="T24" s="2">
        <v>0.1</v>
      </c>
      <c r="U24" t="s">
        <v>217</v>
      </c>
      <c r="V24" t="str">
        <f>CHOOSE(MOD(SalesData[[#This Row],[Row ID]]-1,8)+1,"Aarav Sharma","Ananya Singh","Rohan Verma","Priya Gupta","Arjun Mehta","Neha Kapoor","Rahul Joshi","Sneha Patel")</f>
        <v>Arjun Mehta</v>
      </c>
      <c r="W2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4" s="8">
        <f>IFERROR(VALUE(SUBSTITUTE(SUBSTITUTE(SalesData[[#This Row],[Profit]],"$",""),",",""))/VALUE(SUBSTITUTE(SUBSTITUTE(SalesData[[#This Row],[Sales]],"$",""),",","")),0)</f>
        <v>0.14206283013622464</v>
      </c>
      <c r="Y24" s="6">
        <f>IFERROR(VALUE(SUBSTITUTE(SUBSTITUTE(SalesData[[#This Row],[Sales]],"$",""),",",""))/SalesData[[#This Row],[Quantity]],0)</f>
        <v>11.99</v>
      </c>
      <c r="Z24">
        <f>YEAR(SalesData[[#This Row],[Order Date]])</f>
        <v>2022</v>
      </c>
      <c r="AA24" t="str">
        <f>TEXT(SalesData[[#This Row],[Order Date]],"mmm")</f>
        <v>Feb</v>
      </c>
      <c r="AB2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5" spans="1:28">
      <c r="A25">
        <v>273</v>
      </c>
      <c r="B25" t="s">
        <v>218</v>
      </c>
      <c r="C25" s="1">
        <v>44613</v>
      </c>
      <c r="D25" s="1">
        <v>44617</v>
      </c>
      <c r="E25" t="s">
        <v>36</v>
      </c>
      <c r="F25" t="s">
        <v>219</v>
      </c>
      <c r="G25" t="s">
        <v>220</v>
      </c>
      <c r="H25" t="s">
        <v>25</v>
      </c>
      <c r="I25" t="s">
        <v>26</v>
      </c>
      <c r="J25" t="s">
        <v>204</v>
      </c>
      <c r="K25" t="s">
        <v>204</v>
      </c>
      <c r="L25">
        <v>96133</v>
      </c>
      <c r="M25" t="s">
        <v>28</v>
      </c>
      <c r="N25" t="s">
        <v>221</v>
      </c>
      <c r="O25" t="s">
        <v>30</v>
      </c>
      <c r="P25" t="s">
        <v>222</v>
      </c>
      <c r="Q25" t="s">
        <v>223</v>
      </c>
      <c r="R25" t="s">
        <v>224</v>
      </c>
      <c r="S25">
        <v>4</v>
      </c>
      <c r="T25" s="2">
        <v>0.1</v>
      </c>
      <c r="U25" t="s">
        <v>225</v>
      </c>
      <c r="V25" t="str">
        <f>CHOOSE(MOD(SalesData[[#This Row],[Row ID]]-1,8)+1,"Aarav Sharma","Ananya Singh","Rohan Verma","Priya Gupta","Arjun Mehta","Neha Kapoor","Rahul Joshi","Sneha Patel")</f>
        <v>Aarav Sharma</v>
      </c>
      <c r="W2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5" s="8">
        <f>IFERROR(VALUE(SUBSTITUTE(SUBSTITUTE(SalesData[[#This Row],[Profit]],"$",""),",",""))/VALUE(SUBSTITUTE(SUBSTITUTE(SalesData[[#This Row],[Sales]],"$",""),",","")),0)</f>
        <v>6.3141524105754271E-2</v>
      </c>
      <c r="Y25" s="6">
        <f>IFERROR(VALUE(SUBSTITUTE(SUBSTITUTE(SalesData[[#This Row],[Sales]],"$",""),",",""))/SalesData[[#This Row],[Quantity]],0)</f>
        <v>8.0374999999999996</v>
      </c>
      <c r="Z25">
        <f>YEAR(SalesData[[#This Row],[Order Date]])</f>
        <v>2022</v>
      </c>
      <c r="AA25" t="str">
        <f>TEXT(SalesData[[#This Row],[Order Date]],"mmm")</f>
        <v>Feb</v>
      </c>
      <c r="AB2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6" spans="1:28">
      <c r="A26">
        <v>206</v>
      </c>
      <c r="B26" t="s">
        <v>226</v>
      </c>
      <c r="C26" s="1">
        <v>44613</v>
      </c>
      <c r="D26" s="1">
        <v>44618</v>
      </c>
      <c r="E26" t="s">
        <v>36</v>
      </c>
      <c r="F26" t="s">
        <v>227</v>
      </c>
      <c r="G26" t="s">
        <v>228</v>
      </c>
      <c r="H26" t="s">
        <v>25</v>
      </c>
      <c r="I26" t="s">
        <v>26</v>
      </c>
      <c r="J26" t="s">
        <v>229</v>
      </c>
      <c r="K26" t="s">
        <v>229</v>
      </c>
      <c r="L26">
        <v>42854</v>
      </c>
      <c r="M26" t="s">
        <v>73</v>
      </c>
      <c r="N26" t="s">
        <v>230</v>
      </c>
      <c r="O26" t="s">
        <v>43</v>
      </c>
      <c r="P26" t="s">
        <v>44</v>
      </c>
      <c r="Q26" t="s">
        <v>231</v>
      </c>
      <c r="R26" t="s">
        <v>232</v>
      </c>
      <c r="S26">
        <v>1</v>
      </c>
      <c r="T26" s="2">
        <v>0.1</v>
      </c>
      <c r="U26" t="s">
        <v>233</v>
      </c>
      <c r="V26" t="str">
        <f>CHOOSE(MOD(SalesData[[#This Row],[Row ID]]-1,8)+1,"Aarav Sharma","Ananya Singh","Rohan Verma","Priya Gupta","Arjun Mehta","Neha Kapoor","Rahul Joshi","Sneha Patel")</f>
        <v>Neha Kapoor</v>
      </c>
      <c r="W2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6" s="8">
        <f>IFERROR(VALUE(SUBSTITUTE(SUBSTITUTE(SalesData[[#This Row],[Profit]],"$",""),",",""))/VALUE(SUBSTITUTE(SUBSTITUTE(SalesData[[#This Row],[Sales]],"$",""),",","")),0)</f>
        <v>0.14876033057851237</v>
      </c>
      <c r="Y26" s="6">
        <f>IFERROR(VALUE(SUBSTITUTE(SUBSTITUTE(SalesData[[#This Row],[Sales]],"$",""),",",""))/SalesData[[#This Row],[Quantity]],0)</f>
        <v>31.46</v>
      </c>
      <c r="Z26">
        <f>YEAR(SalesData[[#This Row],[Order Date]])</f>
        <v>2022</v>
      </c>
      <c r="AA26" t="str">
        <f>TEXT(SalesData[[#This Row],[Order Date]],"mmm")</f>
        <v>Feb</v>
      </c>
      <c r="AB2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7" spans="1:28">
      <c r="A27">
        <v>204</v>
      </c>
      <c r="B27" t="s">
        <v>234</v>
      </c>
      <c r="C27" s="1">
        <v>44624</v>
      </c>
      <c r="D27" s="1">
        <v>44626</v>
      </c>
      <c r="E27" t="s">
        <v>36</v>
      </c>
      <c r="F27" t="s">
        <v>235</v>
      </c>
      <c r="G27" t="s">
        <v>236</v>
      </c>
      <c r="H27" t="s">
        <v>25</v>
      </c>
      <c r="I27" t="s">
        <v>26</v>
      </c>
      <c r="J27" t="s">
        <v>237</v>
      </c>
      <c r="K27" t="s">
        <v>237</v>
      </c>
      <c r="L27">
        <v>77173</v>
      </c>
      <c r="M27" t="s">
        <v>41</v>
      </c>
      <c r="N27" t="s">
        <v>238</v>
      </c>
      <c r="O27" t="s">
        <v>43</v>
      </c>
      <c r="P27" t="s">
        <v>44</v>
      </c>
      <c r="Q27" t="s">
        <v>239</v>
      </c>
      <c r="R27" t="s">
        <v>240</v>
      </c>
      <c r="S27">
        <v>4</v>
      </c>
      <c r="T27" s="2">
        <v>0.05</v>
      </c>
      <c r="U27" t="s">
        <v>241</v>
      </c>
      <c r="V27" t="str">
        <f>CHOOSE(MOD(SalesData[[#This Row],[Row ID]]-1,8)+1,"Aarav Sharma","Ananya Singh","Rohan Verma","Priya Gupta","Arjun Mehta","Neha Kapoor","Rahul Joshi","Sneha Patel")</f>
        <v>Priya Gupta</v>
      </c>
      <c r="W2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7" s="8">
        <f>IFERROR(VALUE(SUBSTITUTE(SUBSTITUTE(SalesData[[#This Row],[Profit]],"$",""),",",""))/VALUE(SUBSTITUTE(SUBSTITUTE(SalesData[[#This Row],[Sales]],"$",""),",","")),0)</f>
        <v>0.21154781856517274</v>
      </c>
      <c r="Y27" s="6">
        <f>IFERROR(VALUE(SUBSTITUTE(SUBSTITUTE(SalesData[[#This Row],[Sales]],"$",""),",",""))/SalesData[[#This Row],[Quantity]],0)</f>
        <v>46.2425</v>
      </c>
      <c r="Z27">
        <f>YEAR(SalesData[[#This Row],[Order Date]])</f>
        <v>2022</v>
      </c>
      <c r="AA27" t="str">
        <f>TEXT(SalesData[[#This Row],[Order Date]],"mmm")</f>
        <v>Mar</v>
      </c>
      <c r="AB2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8" spans="1:28">
      <c r="A28">
        <v>259</v>
      </c>
      <c r="B28" t="s">
        <v>242</v>
      </c>
      <c r="C28" s="1">
        <v>44625</v>
      </c>
      <c r="D28" s="1">
        <v>44627</v>
      </c>
      <c r="E28" t="s">
        <v>36</v>
      </c>
      <c r="F28" t="s">
        <v>243</v>
      </c>
      <c r="G28" t="s">
        <v>244</v>
      </c>
      <c r="H28" t="s">
        <v>39</v>
      </c>
      <c r="I28" t="s">
        <v>26</v>
      </c>
      <c r="J28" t="s">
        <v>245</v>
      </c>
      <c r="K28" t="s">
        <v>245</v>
      </c>
      <c r="L28">
        <v>74140</v>
      </c>
      <c r="M28" t="s">
        <v>41</v>
      </c>
      <c r="N28" t="s">
        <v>246</v>
      </c>
      <c r="O28" t="s">
        <v>30</v>
      </c>
      <c r="P28" t="s">
        <v>120</v>
      </c>
      <c r="Q28" t="s">
        <v>247</v>
      </c>
      <c r="R28" t="s">
        <v>248</v>
      </c>
      <c r="S28">
        <v>2</v>
      </c>
      <c r="T28" s="2">
        <v>0</v>
      </c>
      <c r="U28" t="s">
        <v>249</v>
      </c>
      <c r="V28" t="str">
        <f>CHOOSE(MOD(SalesData[[#This Row],[Row ID]]-1,8)+1,"Aarav Sharma","Ananya Singh","Rohan Verma","Priya Gupta","Arjun Mehta","Neha Kapoor","Rahul Joshi","Sneha Patel")</f>
        <v>Rohan Verma</v>
      </c>
      <c r="W2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8" s="8">
        <f>IFERROR(VALUE(SUBSTITUTE(SUBSTITUTE(SalesData[[#This Row],[Profit]],"$",""),",",""))/VALUE(SUBSTITUTE(SUBSTITUTE(SalesData[[#This Row],[Sales]],"$",""),",","")),0)</f>
        <v>0.14060159041143253</v>
      </c>
      <c r="Y28" s="6">
        <f>IFERROR(VALUE(SUBSTITUTE(SUBSTITUTE(SalesData[[#This Row],[Sales]],"$",""),",",""))/SalesData[[#This Row],[Quantity]],0)</f>
        <v>43.384999999999998</v>
      </c>
      <c r="Z28">
        <f>YEAR(SalesData[[#This Row],[Order Date]])</f>
        <v>2022</v>
      </c>
      <c r="AA28" t="str">
        <f>TEXT(SalesData[[#This Row],[Order Date]],"mmm")</f>
        <v>Mar</v>
      </c>
      <c r="AB2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9" spans="1:28">
      <c r="A29">
        <v>523</v>
      </c>
      <c r="B29" t="s">
        <v>250</v>
      </c>
      <c r="C29" s="1">
        <v>44627</v>
      </c>
      <c r="D29" s="1">
        <v>44631</v>
      </c>
      <c r="E29" t="s">
        <v>36</v>
      </c>
      <c r="F29" t="s">
        <v>251</v>
      </c>
      <c r="G29" t="s">
        <v>252</v>
      </c>
      <c r="H29" t="s">
        <v>39</v>
      </c>
      <c r="I29" t="s">
        <v>26</v>
      </c>
      <c r="J29" t="s">
        <v>212</v>
      </c>
      <c r="K29" t="s">
        <v>212</v>
      </c>
      <c r="L29">
        <v>56433</v>
      </c>
      <c r="M29" t="s">
        <v>28</v>
      </c>
      <c r="N29" t="s">
        <v>253</v>
      </c>
      <c r="O29" t="s">
        <v>64</v>
      </c>
      <c r="P29" t="s">
        <v>136</v>
      </c>
      <c r="Q29" t="s">
        <v>254</v>
      </c>
      <c r="R29" t="s">
        <v>255</v>
      </c>
      <c r="S29">
        <v>3</v>
      </c>
      <c r="T29" s="2">
        <v>0.4</v>
      </c>
      <c r="U29" t="s">
        <v>256</v>
      </c>
      <c r="V29" t="str">
        <f>CHOOSE(MOD(SalesData[[#This Row],[Row ID]]-1,8)+1,"Aarav Sharma","Ananya Singh","Rohan Verma","Priya Gupta","Arjun Mehta","Neha Kapoor","Rahul Joshi","Sneha Patel")</f>
        <v>Rohan Verma</v>
      </c>
      <c r="W2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9" s="8">
        <f>IFERROR(VALUE(SUBSTITUTE(SUBSTITUTE(SalesData[[#This Row],[Profit]],"$",""),",",""))/VALUE(SUBSTITUTE(SUBSTITUTE(SalesData[[#This Row],[Sales]],"$",""),",","")),0)</f>
        <v>-4.0122439368966326E-2</v>
      </c>
      <c r="Y29" s="6">
        <f>IFERROR(VALUE(SUBSTITUTE(SUBSTITUTE(SalesData[[#This Row],[Sales]],"$",""),",",""))/SalesData[[#This Row],[Quantity]],0)</f>
        <v>70.783333333333331</v>
      </c>
      <c r="Z29">
        <f>YEAR(SalesData[[#This Row],[Order Date]])</f>
        <v>2022</v>
      </c>
      <c r="AA29" t="str">
        <f>TEXT(SalesData[[#This Row],[Order Date]],"mmm")</f>
        <v>Mar</v>
      </c>
      <c r="AB2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0" spans="1:28">
      <c r="A30">
        <v>492</v>
      </c>
      <c r="B30" t="s">
        <v>257</v>
      </c>
      <c r="C30" s="1">
        <v>44628</v>
      </c>
      <c r="D30" s="1">
        <v>44632</v>
      </c>
      <c r="E30" t="s">
        <v>36</v>
      </c>
      <c r="F30" t="s">
        <v>258</v>
      </c>
      <c r="G30" t="s">
        <v>259</v>
      </c>
      <c r="H30" t="s">
        <v>25</v>
      </c>
      <c r="I30" t="s">
        <v>26</v>
      </c>
      <c r="J30" t="s">
        <v>260</v>
      </c>
      <c r="K30" t="s">
        <v>260</v>
      </c>
      <c r="L30">
        <v>50136</v>
      </c>
      <c r="M30" t="s">
        <v>41</v>
      </c>
      <c r="N30" t="s">
        <v>261</v>
      </c>
      <c r="O30" t="s">
        <v>30</v>
      </c>
      <c r="P30" t="s">
        <v>197</v>
      </c>
      <c r="Q30" t="s">
        <v>262</v>
      </c>
      <c r="R30" t="s">
        <v>263</v>
      </c>
      <c r="S30">
        <v>2</v>
      </c>
      <c r="T30" s="2">
        <v>0.1</v>
      </c>
      <c r="U30" t="s">
        <v>264</v>
      </c>
      <c r="V30" t="str">
        <f>CHOOSE(MOD(SalesData[[#This Row],[Row ID]]-1,8)+1,"Aarav Sharma","Ananya Singh","Rohan Verma","Priya Gupta","Arjun Mehta","Neha Kapoor","Rahul Joshi","Sneha Patel")</f>
        <v>Priya Gupta</v>
      </c>
      <c r="W3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0" s="8">
        <f>IFERROR(VALUE(SUBSTITUTE(SUBSTITUTE(SalesData[[#This Row],[Profit]],"$",""),",",""))/VALUE(SUBSTITUTE(SUBSTITUTE(SalesData[[#This Row],[Sales]],"$",""),",","")),0)</f>
        <v>5.1324051324051316E-2</v>
      </c>
      <c r="Y30" s="6">
        <f>IFERROR(VALUE(SUBSTITUTE(SUBSTITUTE(SalesData[[#This Row],[Sales]],"$",""),",",""))/SalesData[[#This Row],[Quantity]],0)</f>
        <v>73.260000000000005</v>
      </c>
      <c r="Z30">
        <f>YEAR(SalesData[[#This Row],[Order Date]])</f>
        <v>2022</v>
      </c>
      <c r="AA30" t="str">
        <f>TEXT(SalesData[[#This Row],[Order Date]],"mmm")</f>
        <v>Mar</v>
      </c>
      <c r="AB3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1" spans="1:28">
      <c r="A31">
        <v>521</v>
      </c>
      <c r="B31" t="s">
        <v>265</v>
      </c>
      <c r="C31" s="1">
        <v>44635</v>
      </c>
      <c r="D31" s="1">
        <v>44637</v>
      </c>
      <c r="E31" t="s">
        <v>36</v>
      </c>
      <c r="F31" t="s">
        <v>266</v>
      </c>
      <c r="G31" t="s">
        <v>267</v>
      </c>
      <c r="H31" t="s">
        <v>25</v>
      </c>
      <c r="I31" t="s">
        <v>26</v>
      </c>
      <c r="J31" t="s">
        <v>81</v>
      </c>
      <c r="K31" t="s">
        <v>81</v>
      </c>
      <c r="L31">
        <v>35395</v>
      </c>
      <c r="M31" t="s">
        <v>62</v>
      </c>
      <c r="N31" t="s">
        <v>268</v>
      </c>
      <c r="O31" t="s">
        <v>64</v>
      </c>
      <c r="P31" t="s">
        <v>105</v>
      </c>
      <c r="Q31" t="s">
        <v>269</v>
      </c>
      <c r="R31" t="s">
        <v>270</v>
      </c>
      <c r="S31">
        <v>5</v>
      </c>
      <c r="T31" s="2">
        <v>0.2</v>
      </c>
      <c r="U31" t="s">
        <v>271</v>
      </c>
      <c r="V31" t="str">
        <f>CHOOSE(MOD(SalesData[[#This Row],[Row ID]]-1,8)+1,"Aarav Sharma","Ananya Singh","Rohan Verma","Priya Gupta","Arjun Mehta","Neha Kapoor","Rahul Joshi","Sneha Patel")</f>
        <v>Aarav Sharma</v>
      </c>
      <c r="W3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1" s="8">
        <f>IFERROR(VALUE(SUBSTITUTE(SUBSTITUTE(SalesData[[#This Row],[Profit]],"$",""),",",""))/VALUE(SUBSTITUTE(SUBSTITUTE(SalesData[[#This Row],[Sales]],"$",""),",","")),0)</f>
        <v>0.1382542037586548</v>
      </c>
      <c r="Y31" s="6">
        <f>IFERROR(VALUE(SUBSTITUTE(SUBSTITUTE(SalesData[[#This Row],[Sales]],"$",""),",",""))/SalesData[[#This Row],[Quantity]],0)</f>
        <v>80.88</v>
      </c>
      <c r="Z31">
        <f>YEAR(SalesData[[#This Row],[Order Date]])</f>
        <v>2022</v>
      </c>
      <c r="AA31" t="str">
        <f>TEXT(SalesData[[#This Row],[Order Date]],"mmm")</f>
        <v>Mar</v>
      </c>
      <c r="AB3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2" spans="1:28">
      <c r="A32">
        <v>287</v>
      </c>
      <c r="B32" t="s">
        <v>272</v>
      </c>
      <c r="C32" s="1">
        <v>44637</v>
      </c>
      <c r="D32" s="1">
        <v>44641</v>
      </c>
      <c r="E32" t="s">
        <v>49</v>
      </c>
      <c r="F32" t="s">
        <v>273</v>
      </c>
      <c r="G32" t="s">
        <v>134</v>
      </c>
      <c r="H32" t="s">
        <v>60</v>
      </c>
      <c r="I32" t="s">
        <v>26</v>
      </c>
      <c r="J32" t="s">
        <v>212</v>
      </c>
      <c r="K32" t="s">
        <v>212</v>
      </c>
      <c r="L32">
        <v>24997</v>
      </c>
      <c r="M32" t="s">
        <v>28</v>
      </c>
      <c r="N32" t="s">
        <v>274</v>
      </c>
      <c r="O32" t="s">
        <v>64</v>
      </c>
      <c r="P32" t="s">
        <v>65</v>
      </c>
      <c r="Q32" t="s">
        <v>275</v>
      </c>
      <c r="R32" t="s">
        <v>276</v>
      </c>
      <c r="S32">
        <v>6</v>
      </c>
      <c r="T32" s="2">
        <v>0.1</v>
      </c>
      <c r="U32" t="s">
        <v>277</v>
      </c>
      <c r="V32" t="str">
        <f>CHOOSE(MOD(SalesData[[#This Row],[Row ID]]-1,8)+1,"Aarav Sharma","Ananya Singh","Rohan Verma","Priya Gupta","Arjun Mehta","Neha Kapoor","Rahul Joshi","Sneha Patel")</f>
        <v>Rahul Joshi</v>
      </c>
      <c r="W3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2" s="8">
        <f>IFERROR(VALUE(SUBSTITUTE(SUBSTITUTE(SalesData[[#This Row],[Profit]],"$",""),",",""))/VALUE(SUBSTITUTE(SUBSTITUTE(SalesData[[#This Row],[Sales]],"$",""),",","")),0)</f>
        <v>0.22529021862526094</v>
      </c>
      <c r="Y32" s="6">
        <f>IFERROR(VALUE(SUBSTITUTE(SUBSTITUTE(SalesData[[#This Row],[Sales]],"$",""),",",""))/SalesData[[#This Row],[Quantity]],0)</f>
        <v>45.511666666666663</v>
      </c>
      <c r="Z32">
        <f>YEAR(SalesData[[#This Row],[Order Date]])</f>
        <v>2022</v>
      </c>
      <c r="AA32" t="str">
        <f>TEXT(SalesData[[#This Row],[Order Date]],"mmm")</f>
        <v>Mar</v>
      </c>
      <c r="AB3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3" spans="1:28">
      <c r="A33">
        <v>299</v>
      </c>
      <c r="B33" t="s">
        <v>278</v>
      </c>
      <c r="C33" s="1">
        <v>44639</v>
      </c>
      <c r="D33" s="1">
        <v>44642</v>
      </c>
      <c r="E33" t="s">
        <v>22</v>
      </c>
      <c r="F33" t="s">
        <v>279</v>
      </c>
      <c r="G33" t="s">
        <v>59</v>
      </c>
      <c r="H33" t="s">
        <v>60</v>
      </c>
      <c r="I33" t="s">
        <v>26</v>
      </c>
      <c r="J33" t="s">
        <v>96</v>
      </c>
      <c r="K33" t="s">
        <v>96</v>
      </c>
      <c r="L33">
        <v>60906</v>
      </c>
      <c r="M33" t="s">
        <v>28</v>
      </c>
      <c r="N33" t="s">
        <v>280</v>
      </c>
      <c r="O33" t="s">
        <v>43</v>
      </c>
      <c r="P33" t="s">
        <v>189</v>
      </c>
      <c r="Q33" t="s">
        <v>281</v>
      </c>
      <c r="R33" t="s">
        <v>282</v>
      </c>
      <c r="S33">
        <v>3</v>
      </c>
      <c r="T33" s="2">
        <v>0.3</v>
      </c>
      <c r="U33" t="s">
        <v>283</v>
      </c>
      <c r="V33" t="str">
        <f>CHOOSE(MOD(SalesData[[#This Row],[Row ID]]-1,8)+1,"Aarav Sharma","Ananya Singh","Rohan Verma","Priya Gupta","Arjun Mehta","Neha Kapoor","Rahul Joshi","Sneha Patel")</f>
        <v>Rohan Verma</v>
      </c>
      <c r="W3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3" s="8">
        <f>IFERROR(VALUE(SUBSTITUTE(SUBSTITUTE(SalesData[[#This Row],[Profit]],"$",""),",",""))/VALUE(SUBSTITUTE(SUBSTITUTE(SalesData[[#This Row],[Sales]],"$",""),",","")),0)</f>
        <v>-2.0926756352765323E-3</v>
      </c>
      <c r="Y33" s="6">
        <f>IFERROR(VALUE(SUBSTITUTE(SUBSTITUTE(SalesData[[#This Row],[Sales]],"$",""),",",""))/SalesData[[#This Row],[Quantity]],0)</f>
        <v>11.15</v>
      </c>
      <c r="Z33">
        <f>YEAR(SalesData[[#This Row],[Order Date]])</f>
        <v>2022</v>
      </c>
      <c r="AA33" t="str">
        <f>TEXT(SalesData[[#This Row],[Order Date]],"mmm")</f>
        <v>Mar</v>
      </c>
      <c r="AB3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4" spans="1:28">
      <c r="A34">
        <v>323</v>
      </c>
      <c r="B34" t="s">
        <v>284</v>
      </c>
      <c r="C34" s="1">
        <v>44645</v>
      </c>
      <c r="D34" s="1">
        <v>44650</v>
      </c>
      <c r="E34" t="s">
        <v>36</v>
      </c>
      <c r="F34" t="s">
        <v>285</v>
      </c>
      <c r="G34" t="s">
        <v>286</v>
      </c>
      <c r="H34" t="s">
        <v>60</v>
      </c>
      <c r="I34" t="s">
        <v>26</v>
      </c>
      <c r="J34" t="s">
        <v>260</v>
      </c>
      <c r="K34" t="s">
        <v>260</v>
      </c>
      <c r="L34">
        <v>96437</v>
      </c>
      <c r="M34" t="s">
        <v>41</v>
      </c>
      <c r="N34" t="s">
        <v>287</v>
      </c>
      <c r="O34" t="s">
        <v>30</v>
      </c>
      <c r="P34" t="s">
        <v>222</v>
      </c>
      <c r="Q34" t="s">
        <v>288</v>
      </c>
      <c r="R34" t="s">
        <v>289</v>
      </c>
      <c r="S34">
        <v>7</v>
      </c>
      <c r="T34" s="2">
        <v>0.3</v>
      </c>
      <c r="U34" t="s">
        <v>290</v>
      </c>
      <c r="V34" t="str">
        <f>CHOOSE(MOD(SalesData[[#This Row],[Row ID]]-1,8)+1,"Aarav Sharma","Ananya Singh","Rohan Verma","Priya Gupta","Arjun Mehta","Neha Kapoor","Rahul Joshi","Sneha Patel")</f>
        <v>Rohan Verma</v>
      </c>
      <c r="W3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4" s="8">
        <f>IFERROR(VALUE(SUBSTITUTE(SUBSTITUTE(SalesData[[#This Row],[Profit]],"$",""),",",""))/VALUE(SUBSTITUTE(SUBSTITUTE(SalesData[[#This Row],[Sales]],"$",""),",","")),0)</f>
        <v>-7.3005583723766129E-2</v>
      </c>
      <c r="Y34" s="6">
        <f>IFERROR(VALUE(SUBSTITUTE(SUBSTITUTE(SalesData[[#This Row],[Sales]],"$",""),",",""))/SalesData[[#This Row],[Quantity]],0)</f>
        <v>44.517142857142858</v>
      </c>
      <c r="Z34">
        <f>YEAR(SalesData[[#This Row],[Order Date]])</f>
        <v>2022</v>
      </c>
      <c r="AA34" t="str">
        <f>TEXT(SalesData[[#This Row],[Order Date]],"mmm")</f>
        <v>Mar</v>
      </c>
      <c r="AB3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5" spans="1:28">
      <c r="A35">
        <v>397</v>
      </c>
      <c r="B35" t="s">
        <v>291</v>
      </c>
      <c r="C35" s="1">
        <v>44645</v>
      </c>
      <c r="D35" s="1">
        <v>44647</v>
      </c>
      <c r="E35" t="s">
        <v>49</v>
      </c>
      <c r="F35" t="s">
        <v>292</v>
      </c>
      <c r="G35" t="s">
        <v>293</v>
      </c>
      <c r="H35" t="s">
        <v>39</v>
      </c>
      <c r="I35" t="s">
        <v>26</v>
      </c>
      <c r="J35" t="s">
        <v>96</v>
      </c>
      <c r="K35" t="s">
        <v>96</v>
      </c>
      <c r="L35">
        <v>30365</v>
      </c>
      <c r="M35" t="s">
        <v>28</v>
      </c>
      <c r="N35" t="s">
        <v>294</v>
      </c>
      <c r="O35" t="s">
        <v>43</v>
      </c>
      <c r="P35" t="s">
        <v>189</v>
      </c>
      <c r="Q35" t="s">
        <v>295</v>
      </c>
      <c r="R35" t="s">
        <v>296</v>
      </c>
      <c r="S35">
        <v>2</v>
      </c>
      <c r="T35" s="2">
        <v>0</v>
      </c>
      <c r="U35" t="s">
        <v>297</v>
      </c>
      <c r="V35" t="str">
        <f>CHOOSE(MOD(SalesData[[#This Row],[Row ID]]-1,8)+1,"Aarav Sharma","Ananya Singh","Rohan Verma","Priya Gupta","Arjun Mehta","Neha Kapoor","Rahul Joshi","Sneha Patel")</f>
        <v>Arjun Mehta</v>
      </c>
      <c r="W3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5" s="8">
        <f>IFERROR(VALUE(SUBSTITUTE(SUBSTITUTE(SalesData[[#This Row],[Profit]],"$",""),",",""))/VALUE(SUBSTITUTE(SUBSTITUTE(SalesData[[#This Row],[Sales]],"$",""),",","")),0)</f>
        <v>0.2285012285012285</v>
      </c>
      <c r="Y35" s="6">
        <f>IFERROR(VALUE(SUBSTITUTE(SUBSTITUTE(SalesData[[#This Row],[Sales]],"$",""),",",""))/SalesData[[#This Row],[Quantity]],0)</f>
        <v>8.14</v>
      </c>
      <c r="Z35">
        <f>YEAR(SalesData[[#This Row],[Order Date]])</f>
        <v>2022</v>
      </c>
      <c r="AA35" t="str">
        <f>TEXT(SalesData[[#This Row],[Order Date]],"mmm")</f>
        <v>Mar</v>
      </c>
      <c r="AB3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6" spans="1:28">
      <c r="A36">
        <v>396</v>
      </c>
      <c r="B36" t="s">
        <v>298</v>
      </c>
      <c r="C36" s="1">
        <v>44647</v>
      </c>
      <c r="D36" s="1">
        <v>44648</v>
      </c>
      <c r="E36" t="s">
        <v>49</v>
      </c>
      <c r="F36" t="s">
        <v>299</v>
      </c>
      <c r="G36" t="s">
        <v>300</v>
      </c>
      <c r="H36" t="s">
        <v>60</v>
      </c>
      <c r="I36" t="s">
        <v>26</v>
      </c>
      <c r="J36" t="s">
        <v>301</v>
      </c>
      <c r="K36" t="s">
        <v>301</v>
      </c>
      <c r="L36">
        <v>93569</v>
      </c>
      <c r="M36" t="s">
        <v>73</v>
      </c>
      <c r="N36" t="s">
        <v>302</v>
      </c>
      <c r="O36" t="s">
        <v>30</v>
      </c>
      <c r="P36" t="s">
        <v>222</v>
      </c>
      <c r="Q36" t="s">
        <v>303</v>
      </c>
      <c r="R36" t="s">
        <v>304</v>
      </c>
      <c r="S36">
        <v>3</v>
      </c>
      <c r="T36" s="2">
        <v>0</v>
      </c>
      <c r="U36" t="s">
        <v>305</v>
      </c>
      <c r="V36" t="str">
        <f>CHOOSE(MOD(SalesData[[#This Row],[Row ID]]-1,8)+1,"Aarav Sharma","Ananya Singh","Rohan Verma","Priya Gupta","Arjun Mehta","Neha Kapoor","Rahul Joshi","Sneha Patel")</f>
        <v>Priya Gupta</v>
      </c>
      <c r="W3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6" s="8">
        <f>IFERROR(VALUE(SUBSTITUTE(SUBSTITUTE(SalesData[[#This Row],[Profit]],"$",""),",",""))/VALUE(SUBSTITUTE(SUBSTITUTE(SalesData[[#This Row],[Sales]],"$",""),",","")),0)</f>
        <v>0.14744905439085179</v>
      </c>
      <c r="Y36" s="6">
        <f>IFERROR(VALUE(SUBSTITUTE(SUBSTITUTE(SalesData[[#This Row],[Sales]],"$",""),",",""))/SalesData[[#This Row],[Quantity]],0)</f>
        <v>90.946666666666658</v>
      </c>
      <c r="Z36">
        <f>YEAR(SalesData[[#This Row],[Order Date]])</f>
        <v>2022</v>
      </c>
      <c r="AA36" t="str">
        <f>TEXT(SalesData[[#This Row],[Order Date]],"mmm")</f>
        <v>Mar</v>
      </c>
      <c r="AB3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7" spans="1:28">
      <c r="A37">
        <v>431</v>
      </c>
      <c r="B37" t="s">
        <v>306</v>
      </c>
      <c r="C37" s="1">
        <v>44649</v>
      </c>
      <c r="D37" s="1">
        <v>44650</v>
      </c>
      <c r="E37" t="s">
        <v>36</v>
      </c>
      <c r="F37" t="s">
        <v>307</v>
      </c>
      <c r="G37" t="s">
        <v>308</v>
      </c>
      <c r="H37" t="s">
        <v>39</v>
      </c>
      <c r="I37" t="s">
        <v>26</v>
      </c>
      <c r="J37" t="s">
        <v>27</v>
      </c>
      <c r="K37" t="s">
        <v>27</v>
      </c>
      <c r="L37">
        <v>39377</v>
      </c>
      <c r="M37" t="s">
        <v>28</v>
      </c>
      <c r="N37" t="s">
        <v>309</v>
      </c>
      <c r="O37" t="s">
        <v>64</v>
      </c>
      <c r="P37" t="s">
        <v>136</v>
      </c>
      <c r="Q37" t="s">
        <v>310</v>
      </c>
      <c r="R37" t="s">
        <v>311</v>
      </c>
      <c r="S37">
        <v>4</v>
      </c>
      <c r="T37" s="2">
        <v>0</v>
      </c>
      <c r="U37" t="s">
        <v>312</v>
      </c>
      <c r="V37" t="str">
        <f>CHOOSE(MOD(SalesData[[#This Row],[Row ID]]-1,8)+1,"Aarav Sharma","Ananya Singh","Rohan Verma","Priya Gupta","Arjun Mehta","Neha Kapoor","Rahul Joshi","Sneha Patel")</f>
        <v>Rahul Joshi</v>
      </c>
      <c r="W3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7" s="8">
        <f>IFERROR(VALUE(SUBSTITUTE(SUBSTITUTE(SalesData[[#This Row],[Profit]],"$",""),",",""))/VALUE(SUBSTITUTE(SUBSTITUTE(SalesData[[#This Row],[Sales]],"$",""),",","")),0)</f>
        <v>0.28121743899095147</v>
      </c>
      <c r="Y37" s="6">
        <f>IFERROR(VALUE(SUBSTITUTE(SUBSTITUTE(SalesData[[#This Row],[Sales]],"$",""),",",""))/SalesData[[#This Row],[Quantity]],0)</f>
        <v>45.587499999999999</v>
      </c>
      <c r="Z37">
        <f>YEAR(SalesData[[#This Row],[Order Date]])</f>
        <v>2022</v>
      </c>
      <c r="AA37" t="str">
        <f>TEXT(SalesData[[#This Row],[Order Date]],"mmm")</f>
        <v>Mar</v>
      </c>
      <c r="AB3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8" spans="1:28">
      <c r="A38">
        <v>494</v>
      </c>
      <c r="B38" t="s">
        <v>313</v>
      </c>
      <c r="C38" s="1">
        <v>44650</v>
      </c>
      <c r="D38" s="1">
        <v>44651</v>
      </c>
      <c r="E38" t="s">
        <v>49</v>
      </c>
      <c r="F38" t="s">
        <v>314</v>
      </c>
      <c r="G38" t="s">
        <v>315</v>
      </c>
      <c r="H38" t="s">
        <v>25</v>
      </c>
      <c r="I38" t="s">
        <v>26</v>
      </c>
      <c r="J38" t="s">
        <v>150</v>
      </c>
      <c r="K38" t="s">
        <v>150</v>
      </c>
      <c r="L38">
        <v>15607</v>
      </c>
      <c r="M38" t="s">
        <v>73</v>
      </c>
      <c r="N38" t="s">
        <v>316</v>
      </c>
      <c r="O38" t="s">
        <v>43</v>
      </c>
      <c r="P38" t="s">
        <v>44</v>
      </c>
      <c r="Q38" t="s">
        <v>317</v>
      </c>
      <c r="R38" t="s">
        <v>318</v>
      </c>
      <c r="S38">
        <v>1</v>
      </c>
      <c r="T38" s="2">
        <v>0.5</v>
      </c>
      <c r="U38" t="s">
        <v>319</v>
      </c>
      <c r="V38" t="str">
        <f>CHOOSE(MOD(SalesData[[#This Row],[Row ID]]-1,8)+1,"Aarav Sharma","Ananya Singh","Rohan Verma","Priya Gupta","Arjun Mehta","Neha Kapoor","Rahul Joshi","Sneha Patel")</f>
        <v>Neha Kapoor</v>
      </c>
      <c r="W3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8" s="8">
        <f>IFERROR(VALUE(SUBSTITUTE(SUBSTITUTE(SalesData[[#This Row],[Profit]],"$",""),",",""))/VALUE(SUBSTITUTE(SUBSTITUTE(SalesData[[#This Row],[Sales]],"$",""),",","")),0)</f>
        <v>-0.11511811023622047</v>
      </c>
      <c r="Y38" s="6">
        <f>IFERROR(VALUE(SUBSTITUTE(SUBSTITUTE(SalesData[[#This Row],[Sales]],"$",""),",",""))/SalesData[[#This Row],[Quantity]],0)</f>
        <v>63.5</v>
      </c>
      <c r="Z38">
        <f>YEAR(SalesData[[#This Row],[Order Date]])</f>
        <v>2022</v>
      </c>
      <c r="AA38" t="str">
        <f>TEXT(SalesData[[#This Row],[Order Date]],"mmm")</f>
        <v>Mar</v>
      </c>
      <c r="AB3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9" spans="1:28">
      <c r="A39">
        <v>496</v>
      </c>
      <c r="B39" t="s">
        <v>320</v>
      </c>
      <c r="C39" s="1">
        <v>44651</v>
      </c>
      <c r="D39" s="1">
        <v>44656</v>
      </c>
      <c r="E39" t="s">
        <v>36</v>
      </c>
      <c r="F39" t="s">
        <v>321</v>
      </c>
      <c r="G39" t="s">
        <v>322</v>
      </c>
      <c r="H39" t="s">
        <v>25</v>
      </c>
      <c r="I39" t="s">
        <v>26</v>
      </c>
      <c r="J39" t="s">
        <v>301</v>
      </c>
      <c r="K39" t="s">
        <v>301</v>
      </c>
      <c r="L39">
        <v>43270</v>
      </c>
      <c r="M39" t="s">
        <v>73</v>
      </c>
      <c r="N39" t="s">
        <v>323</v>
      </c>
      <c r="O39" t="s">
        <v>30</v>
      </c>
      <c r="P39" t="s">
        <v>31</v>
      </c>
      <c r="Q39" t="s">
        <v>324</v>
      </c>
      <c r="R39" t="s">
        <v>325</v>
      </c>
      <c r="S39">
        <v>6</v>
      </c>
      <c r="T39" s="2">
        <v>0.15</v>
      </c>
      <c r="U39" t="s">
        <v>326</v>
      </c>
      <c r="V39" t="str">
        <f>CHOOSE(MOD(SalesData[[#This Row],[Row ID]]-1,8)+1,"Aarav Sharma","Ananya Singh","Rohan Verma","Priya Gupta","Arjun Mehta","Neha Kapoor","Rahul Joshi","Sneha Patel")</f>
        <v>Sneha Patel</v>
      </c>
      <c r="W3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9" s="8">
        <f>IFERROR(VALUE(SUBSTITUTE(SUBSTITUTE(SalesData[[#This Row],[Profit]],"$",""),",",""))/VALUE(SUBSTITUTE(SUBSTITUTE(SalesData[[#This Row],[Sales]],"$",""),",","")),0)</f>
        <v>0.12235015603142148</v>
      </c>
      <c r="Y39" s="6">
        <f>IFERROR(VALUE(SUBSTITUTE(SUBSTITUTE(SalesData[[#This Row],[Sales]],"$",""),",",""))/SalesData[[#This Row],[Quantity]],0)</f>
        <v>15.488333333333335</v>
      </c>
      <c r="Z39">
        <f>YEAR(SalesData[[#This Row],[Order Date]])</f>
        <v>2022</v>
      </c>
      <c r="AA39" t="str">
        <f>TEXT(SalesData[[#This Row],[Order Date]],"mmm")</f>
        <v>Mar</v>
      </c>
      <c r="AB3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0" spans="1:28">
      <c r="A40">
        <v>244</v>
      </c>
      <c r="B40" t="s">
        <v>327</v>
      </c>
      <c r="C40" s="1">
        <v>44652</v>
      </c>
      <c r="D40" s="1">
        <v>44657</v>
      </c>
      <c r="E40" t="s">
        <v>22</v>
      </c>
      <c r="F40" t="s">
        <v>328</v>
      </c>
      <c r="G40" t="s">
        <v>329</v>
      </c>
      <c r="H40" t="s">
        <v>39</v>
      </c>
      <c r="I40" t="s">
        <v>26</v>
      </c>
      <c r="J40" t="s">
        <v>204</v>
      </c>
      <c r="K40" t="s">
        <v>204</v>
      </c>
      <c r="L40">
        <v>70652</v>
      </c>
      <c r="M40" t="s">
        <v>28</v>
      </c>
      <c r="N40" t="s">
        <v>330</v>
      </c>
      <c r="O40" t="s">
        <v>64</v>
      </c>
      <c r="P40" t="s">
        <v>105</v>
      </c>
      <c r="Q40" t="s">
        <v>331</v>
      </c>
      <c r="R40" t="s">
        <v>332</v>
      </c>
      <c r="S40">
        <v>4</v>
      </c>
      <c r="T40" s="2">
        <v>0</v>
      </c>
      <c r="U40" t="s">
        <v>333</v>
      </c>
      <c r="V40" t="str">
        <f>CHOOSE(MOD(SalesData[[#This Row],[Row ID]]-1,8)+1,"Aarav Sharma","Ananya Singh","Rohan Verma","Priya Gupta","Arjun Mehta","Neha Kapoor","Rahul Joshi","Sneha Patel")</f>
        <v>Priya Gupta</v>
      </c>
      <c r="W4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0" s="8">
        <f>IFERROR(VALUE(SUBSTITUTE(SUBSTITUTE(SalesData[[#This Row],[Profit]],"$",""),",",""))/VALUE(SUBSTITUTE(SUBSTITUTE(SalesData[[#This Row],[Sales]],"$",""),",","")),0)</f>
        <v>0.28599939749962344</v>
      </c>
      <c r="Y40" s="6">
        <f>IFERROR(VALUE(SUBSTITUTE(SUBSTITUTE(SalesData[[#This Row],[Sales]],"$",""),",",""))/SalesData[[#This Row],[Quantity]],0)</f>
        <v>132.78</v>
      </c>
      <c r="Z40">
        <f>YEAR(SalesData[[#This Row],[Order Date]])</f>
        <v>2022</v>
      </c>
      <c r="AA40" t="str">
        <f>TEXT(SalesData[[#This Row],[Order Date]],"mmm")</f>
        <v>Apr</v>
      </c>
      <c r="AB4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1" spans="1:28">
      <c r="A41">
        <v>514</v>
      </c>
      <c r="B41" t="s">
        <v>334</v>
      </c>
      <c r="C41" s="1">
        <v>44652</v>
      </c>
      <c r="D41" s="1">
        <v>44655</v>
      </c>
      <c r="E41" t="s">
        <v>22</v>
      </c>
      <c r="F41" t="s">
        <v>335</v>
      </c>
      <c r="G41" t="s">
        <v>336</v>
      </c>
      <c r="H41" t="s">
        <v>25</v>
      </c>
      <c r="I41" t="s">
        <v>26</v>
      </c>
      <c r="J41" t="s">
        <v>212</v>
      </c>
      <c r="K41" t="s">
        <v>212</v>
      </c>
      <c r="L41">
        <v>54721</v>
      </c>
      <c r="M41" t="s">
        <v>28</v>
      </c>
      <c r="N41" t="s">
        <v>337</v>
      </c>
      <c r="O41" t="s">
        <v>43</v>
      </c>
      <c r="P41" t="s">
        <v>128</v>
      </c>
      <c r="Q41" t="s">
        <v>338</v>
      </c>
      <c r="R41" t="s">
        <v>339</v>
      </c>
      <c r="S41">
        <v>6</v>
      </c>
      <c r="T41" s="2">
        <v>0.4</v>
      </c>
      <c r="U41" t="s">
        <v>340</v>
      </c>
      <c r="V41" t="str">
        <f>CHOOSE(MOD(SalesData[[#This Row],[Row ID]]-1,8)+1,"Aarav Sharma","Ananya Singh","Rohan Verma","Priya Gupta","Arjun Mehta","Neha Kapoor","Rahul Joshi","Sneha Patel")</f>
        <v>Ananya Singh</v>
      </c>
      <c r="W4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1" s="8">
        <f>IFERROR(VALUE(SUBSTITUTE(SUBSTITUTE(SalesData[[#This Row],[Profit]],"$",""),",",""))/VALUE(SUBSTITUTE(SUBSTITUTE(SalesData[[#This Row],[Sales]],"$",""),",","")),0)</f>
        <v>-6.535947712418301E-2</v>
      </c>
      <c r="Y41" s="6">
        <f>IFERROR(VALUE(SUBSTITUTE(SUBSTITUTE(SalesData[[#This Row],[Sales]],"$",""),",",""))/SalesData[[#This Row],[Quantity]],0)</f>
        <v>15.045</v>
      </c>
      <c r="Z41">
        <f>YEAR(SalesData[[#This Row],[Order Date]])</f>
        <v>2022</v>
      </c>
      <c r="AA41" t="str">
        <f>TEXT(SalesData[[#This Row],[Order Date]],"mmm")</f>
        <v>Apr</v>
      </c>
      <c r="AB4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2" spans="1:28">
      <c r="A42">
        <v>394</v>
      </c>
      <c r="B42" t="s">
        <v>341</v>
      </c>
      <c r="C42" s="1">
        <v>44664</v>
      </c>
      <c r="D42" s="1">
        <v>44667</v>
      </c>
      <c r="E42" t="s">
        <v>36</v>
      </c>
      <c r="F42" t="s">
        <v>342</v>
      </c>
      <c r="G42" t="s">
        <v>300</v>
      </c>
      <c r="H42" t="s">
        <v>39</v>
      </c>
      <c r="I42" t="s">
        <v>26</v>
      </c>
      <c r="J42" t="s">
        <v>229</v>
      </c>
      <c r="K42" t="s">
        <v>229</v>
      </c>
      <c r="L42">
        <v>94585</v>
      </c>
      <c r="M42" t="s">
        <v>73</v>
      </c>
      <c r="N42" t="s">
        <v>343</v>
      </c>
      <c r="O42" t="s">
        <v>64</v>
      </c>
      <c r="P42" t="s">
        <v>65</v>
      </c>
      <c r="Q42" t="s">
        <v>344</v>
      </c>
      <c r="R42" t="s">
        <v>345</v>
      </c>
      <c r="S42">
        <v>2</v>
      </c>
      <c r="T42" s="2">
        <v>0.3</v>
      </c>
      <c r="U42" t="s">
        <v>346</v>
      </c>
      <c r="V42" t="str">
        <f>CHOOSE(MOD(SalesData[[#This Row],[Row ID]]-1,8)+1,"Aarav Sharma","Ananya Singh","Rohan Verma","Priya Gupta","Arjun Mehta","Neha Kapoor","Rahul Joshi","Sneha Patel")</f>
        <v>Ananya Singh</v>
      </c>
      <c r="W4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2" s="8">
        <f>IFERROR(VALUE(SUBSTITUTE(SUBSTITUTE(SalesData[[#This Row],[Profit]],"$",""),",",""))/VALUE(SUBSTITUTE(SUBSTITUTE(SalesData[[#This Row],[Sales]],"$",""),",","")),0)</f>
        <v>0.1294254207777133</v>
      </c>
      <c r="Y42" s="6">
        <f>IFERROR(VALUE(SUBSTITUTE(SUBSTITUTE(SalesData[[#This Row],[Sales]],"$",""),",",""))/SalesData[[#This Row],[Quantity]],0)</f>
        <v>172.3</v>
      </c>
      <c r="Z42">
        <f>YEAR(SalesData[[#This Row],[Order Date]])</f>
        <v>2022</v>
      </c>
      <c r="AA42" t="str">
        <f>TEXT(SalesData[[#This Row],[Order Date]],"mmm")</f>
        <v>Apr</v>
      </c>
      <c r="AB4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3" spans="1:28">
      <c r="A43">
        <v>84</v>
      </c>
      <c r="B43" t="s">
        <v>347</v>
      </c>
      <c r="C43" s="1">
        <v>44667</v>
      </c>
      <c r="D43" s="1">
        <v>44669</v>
      </c>
      <c r="E43" t="s">
        <v>36</v>
      </c>
      <c r="F43" t="s">
        <v>348</v>
      </c>
      <c r="G43" t="s">
        <v>349</v>
      </c>
      <c r="H43" t="s">
        <v>39</v>
      </c>
      <c r="I43" t="s">
        <v>26</v>
      </c>
      <c r="J43" t="s">
        <v>173</v>
      </c>
      <c r="K43" t="s">
        <v>173</v>
      </c>
      <c r="L43">
        <v>36630</v>
      </c>
      <c r="M43" t="s">
        <v>73</v>
      </c>
      <c r="N43" t="s">
        <v>350</v>
      </c>
      <c r="O43" t="s">
        <v>64</v>
      </c>
      <c r="P43" t="s">
        <v>65</v>
      </c>
      <c r="Q43" t="s">
        <v>351</v>
      </c>
      <c r="R43" t="s">
        <v>352</v>
      </c>
      <c r="S43">
        <v>2</v>
      </c>
      <c r="T43" s="2">
        <v>0.2</v>
      </c>
      <c r="U43" t="s">
        <v>353</v>
      </c>
      <c r="V43" t="str">
        <f>CHOOSE(MOD(SalesData[[#This Row],[Row ID]]-1,8)+1,"Aarav Sharma","Ananya Singh","Rohan Verma","Priya Gupta","Arjun Mehta","Neha Kapoor","Rahul Joshi","Sneha Patel")</f>
        <v>Priya Gupta</v>
      </c>
      <c r="W4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3" s="8">
        <f>IFERROR(VALUE(SUBSTITUTE(SUBSTITUTE(SalesData[[#This Row],[Profit]],"$",""),",",""))/VALUE(SUBSTITUTE(SUBSTITUTE(SalesData[[#This Row],[Sales]],"$",""),",","")),0)</f>
        <v>0.11587738860466133</v>
      </c>
      <c r="Y43" s="6">
        <f>IFERROR(VALUE(SUBSTITUTE(SUBSTITUTE(SalesData[[#This Row],[Sales]],"$",""),",",""))/SalesData[[#This Row],[Quantity]],0)</f>
        <v>114.345</v>
      </c>
      <c r="Z43">
        <f>YEAR(SalesData[[#This Row],[Order Date]])</f>
        <v>2022</v>
      </c>
      <c r="AA43" t="str">
        <f>TEXT(SalesData[[#This Row],[Order Date]],"mmm")</f>
        <v>Apr</v>
      </c>
      <c r="AB4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4" spans="1:28">
      <c r="A44">
        <v>447</v>
      </c>
      <c r="B44" t="s">
        <v>354</v>
      </c>
      <c r="C44" s="1">
        <v>44667</v>
      </c>
      <c r="D44" s="1">
        <v>44669</v>
      </c>
      <c r="E44" t="s">
        <v>36</v>
      </c>
      <c r="F44" t="s">
        <v>355</v>
      </c>
      <c r="G44" t="s">
        <v>220</v>
      </c>
      <c r="H44" t="s">
        <v>60</v>
      </c>
      <c r="I44" t="s">
        <v>26</v>
      </c>
      <c r="J44" t="s">
        <v>204</v>
      </c>
      <c r="K44" t="s">
        <v>204</v>
      </c>
      <c r="L44">
        <v>64639</v>
      </c>
      <c r="M44" t="s">
        <v>28</v>
      </c>
      <c r="N44" t="s">
        <v>356</v>
      </c>
      <c r="O44" t="s">
        <v>30</v>
      </c>
      <c r="P44" t="s">
        <v>120</v>
      </c>
      <c r="Q44" t="s">
        <v>357</v>
      </c>
      <c r="R44" t="s">
        <v>358</v>
      </c>
      <c r="S44">
        <v>5</v>
      </c>
      <c r="T44" s="2">
        <v>0.3</v>
      </c>
      <c r="U44" t="s">
        <v>359</v>
      </c>
      <c r="V44" t="str">
        <f>CHOOSE(MOD(SalesData[[#This Row],[Row ID]]-1,8)+1,"Aarav Sharma","Ananya Singh","Rohan Verma","Priya Gupta","Arjun Mehta","Neha Kapoor","Rahul Joshi","Sneha Patel")</f>
        <v>Rahul Joshi</v>
      </c>
      <c r="W4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4" s="8">
        <f>IFERROR(VALUE(SUBSTITUTE(SUBSTITUTE(SalesData[[#This Row],[Profit]],"$",""),",",""))/VALUE(SUBSTITUTE(SUBSTITUTE(SalesData[[#This Row],[Sales]],"$",""),",","")),0)</f>
        <v>-1.7667844522968199E-2</v>
      </c>
      <c r="Y44" s="6">
        <f>IFERROR(VALUE(SUBSTITUTE(SUBSTITUTE(SalesData[[#This Row],[Sales]],"$",""),",",""))/SalesData[[#This Row],[Quantity]],0)</f>
        <v>3.9619999999999997</v>
      </c>
      <c r="Z44">
        <f>YEAR(SalesData[[#This Row],[Order Date]])</f>
        <v>2022</v>
      </c>
      <c r="AA44" t="str">
        <f>TEXT(SalesData[[#This Row],[Order Date]],"mmm")</f>
        <v>Apr</v>
      </c>
      <c r="AB4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5" spans="1:28">
      <c r="A45">
        <v>498</v>
      </c>
      <c r="B45" t="s">
        <v>360</v>
      </c>
      <c r="C45" s="1">
        <v>44668</v>
      </c>
      <c r="D45" s="1">
        <v>44672</v>
      </c>
      <c r="E45" t="s">
        <v>36</v>
      </c>
      <c r="F45" t="s">
        <v>361</v>
      </c>
      <c r="G45" t="s">
        <v>362</v>
      </c>
      <c r="H45" t="s">
        <v>25</v>
      </c>
      <c r="I45" t="s">
        <v>26</v>
      </c>
      <c r="J45" t="s">
        <v>363</v>
      </c>
      <c r="K45" t="s">
        <v>363</v>
      </c>
      <c r="L45">
        <v>41153</v>
      </c>
      <c r="M45" t="s">
        <v>62</v>
      </c>
      <c r="N45" t="s">
        <v>364</v>
      </c>
      <c r="O45" t="s">
        <v>30</v>
      </c>
      <c r="P45" t="s">
        <v>120</v>
      </c>
      <c r="Q45" t="s">
        <v>365</v>
      </c>
      <c r="R45" t="s">
        <v>366</v>
      </c>
      <c r="S45">
        <v>5</v>
      </c>
      <c r="T45" s="2">
        <v>0</v>
      </c>
      <c r="U45" t="s">
        <v>367</v>
      </c>
      <c r="V45" t="str">
        <f>CHOOSE(MOD(SalesData[[#This Row],[Row ID]]-1,8)+1,"Aarav Sharma","Ananya Singh","Rohan Verma","Priya Gupta","Arjun Mehta","Neha Kapoor","Rahul Joshi","Sneha Patel")</f>
        <v>Ananya Singh</v>
      </c>
      <c r="W4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5" s="8">
        <f>IFERROR(VALUE(SUBSTITUTE(SUBSTITUTE(SalesData[[#This Row],[Profit]],"$",""),",",""))/VALUE(SUBSTITUTE(SUBSTITUTE(SalesData[[#This Row],[Sales]],"$",""),",","")),0)</f>
        <v>0.18542199488491046</v>
      </c>
      <c r="Y45" s="6">
        <f>IFERROR(VALUE(SUBSTITUTE(SUBSTITUTE(SalesData[[#This Row],[Sales]],"$",""),",",""))/SalesData[[#This Row],[Quantity]],0)</f>
        <v>18.768000000000001</v>
      </c>
      <c r="Z45">
        <f>YEAR(SalesData[[#This Row],[Order Date]])</f>
        <v>2022</v>
      </c>
      <c r="AA45" t="str">
        <f>TEXT(SalesData[[#This Row],[Order Date]],"mmm")</f>
        <v>Apr</v>
      </c>
      <c r="AB4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6" spans="1:28">
      <c r="A46">
        <v>311</v>
      </c>
      <c r="B46" t="s">
        <v>368</v>
      </c>
      <c r="C46" s="1">
        <v>44669</v>
      </c>
      <c r="D46" s="1">
        <v>44671</v>
      </c>
      <c r="E46" t="s">
        <v>36</v>
      </c>
      <c r="F46" t="s">
        <v>369</v>
      </c>
      <c r="G46" t="s">
        <v>370</v>
      </c>
      <c r="H46" t="s">
        <v>39</v>
      </c>
      <c r="I46" t="s">
        <v>26</v>
      </c>
      <c r="J46" t="s">
        <v>157</v>
      </c>
      <c r="K46" t="s">
        <v>157</v>
      </c>
      <c r="L46">
        <v>18320</v>
      </c>
      <c r="M46" t="s">
        <v>62</v>
      </c>
      <c r="N46" t="s">
        <v>371</v>
      </c>
      <c r="O46" t="s">
        <v>64</v>
      </c>
      <c r="P46" t="s">
        <v>136</v>
      </c>
      <c r="Q46" t="s">
        <v>372</v>
      </c>
      <c r="R46" t="s">
        <v>373</v>
      </c>
      <c r="S46">
        <v>4</v>
      </c>
      <c r="T46" s="2">
        <v>0.3</v>
      </c>
      <c r="U46" t="s">
        <v>374</v>
      </c>
      <c r="V46" t="str">
        <f>CHOOSE(MOD(SalesData[[#This Row],[Row ID]]-1,8)+1,"Aarav Sharma","Ananya Singh","Rohan Verma","Priya Gupta","Arjun Mehta","Neha Kapoor","Rahul Joshi","Sneha Patel")</f>
        <v>Rahul Joshi</v>
      </c>
      <c r="W4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6" s="8">
        <f>IFERROR(VALUE(SUBSTITUTE(SUBSTITUTE(SalesData[[#This Row],[Profit]],"$",""),",",""))/VALUE(SUBSTITUTE(SUBSTITUTE(SalesData[[#This Row],[Sales]],"$",""),",","")),0)</f>
        <v>8.7669280114041334E-2</v>
      </c>
      <c r="Y46" s="6">
        <f>IFERROR(VALUE(SUBSTITUTE(SUBSTITUTE(SalesData[[#This Row],[Sales]],"$",""),",",""))/SalesData[[#This Row],[Quantity]],0)</f>
        <v>24.552499999999998</v>
      </c>
      <c r="Z46">
        <f>YEAR(SalesData[[#This Row],[Order Date]])</f>
        <v>2022</v>
      </c>
      <c r="AA46" t="str">
        <f>TEXT(SalesData[[#This Row],[Order Date]],"mmm")</f>
        <v>Apr</v>
      </c>
      <c r="AB4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7" spans="1:28">
      <c r="A47">
        <v>268</v>
      </c>
      <c r="B47" t="s">
        <v>375</v>
      </c>
      <c r="C47" s="1">
        <v>44670</v>
      </c>
      <c r="D47" s="1">
        <v>44675</v>
      </c>
      <c r="E47" t="s">
        <v>22</v>
      </c>
      <c r="F47" t="s">
        <v>376</v>
      </c>
      <c r="G47" t="s">
        <v>211</v>
      </c>
      <c r="H47" t="s">
        <v>25</v>
      </c>
      <c r="I47" t="s">
        <v>26</v>
      </c>
      <c r="J47" t="s">
        <v>237</v>
      </c>
      <c r="K47" t="s">
        <v>237</v>
      </c>
      <c r="L47">
        <v>44753</v>
      </c>
      <c r="M47" t="s">
        <v>41</v>
      </c>
      <c r="N47" t="s">
        <v>377</v>
      </c>
      <c r="O47" t="s">
        <v>43</v>
      </c>
      <c r="P47" t="s">
        <v>166</v>
      </c>
      <c r="Q47" t="s">
        <v>378</v>
      </c>
      <c r="R47" t="s">
        <v>379</v>
      </c>
      <c r="S47">
        <v>1</v>
      </c>
      <c r="T47" s="2">
        <v>0.15</v>
      </c>
      <c r="U47" t="s">
        <v>380</v>
      </c>
      <c r="V47" t="str">
        <f>CHOOSE(MOD(SalesData[[#This Row],[Row ID]]-1,8)+1,"Aarav Sharma","Ananya Singh","Rohan Verma","Priya Gupta","Arjun Mehta","Neha Kapoor","Rahul Joshi","Sneha Patel")</f>
        <v>Priya Gupta</v>
      </c>
      <c r="W4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7" s="8">
        <f>IFERROR(VALUE(SUBSTITUTE(SUBSTITUTE(SalesData[[#This Row],[Profit]],"$",""),",",""))/VALUE(SUBSTITUTE(SUBSTITUTE(SalesData[[#This Row],[Sales]],"$",""),",","")),0)</f>
        <v>0.15252293577981652</v>
      </c>
      <c r="Y47" s="6">
        <f>IFERROR(VALUE(SUBSTITUTE(SUBSTITUTE(SalesData[[#This Row],[Sales]],"$",""),",",""))/SalesData[[#This Row],[Quantity]],0)</f>
        <v>52.32</v>
      </c>
      <c r="Z47">
        <f>YEAR(SalesData[[#This Row],[Order Date]])</f>
        <v>2022</v>
      </c>
      <c r="AA47" t="str">
        <f>TEXT(SalesData[[#This Row],[Order Date]],"mmm")</f>
        <v>Apr</v>
      </c>
      <c r="AB4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8" spans="1:28">
      <c r="A48">
        <v>285</v>
      </c>
      <c r="B48" t="s">
        <v>381</v>
      </c>
      <c r="C48" s="1">
        <v>44672</v>
      </c>
      <c r="D48" s="1">
        <v>44675</v>
      </c>
      <c r="E48" t="s">
        <v>382</v>
      </c>
      <c r="F48" t="s">
        <v>383</v>
      </c>
      <c r="G48" t="s">
        <v>384</v>
      </c>
      <c r="H48" t="s">
        <v>25</v>
      </c>
      <c r="I48" t="s">
        <v>26</v>
      </c>
      <c r="J48" t="s">
        <v>96</v>
      </c>
      <c r="K48" t="s">
        <v>96</v>
      </c>
      <c r="L48">
        <v>94817</v>
      </c>
      <c r="M48" t="s">
        <v>28</v>
      </c>
      <c r="N48" t="s">
        <v>385</v>
      </c>
      <c r="O48" t="s">
        <v>30</v>
      </c>
      <c r="P48" t="s">
        <v>31</v>
      </c>
      <c r="Q48" t="s">
        <v>386</v>
      </c>
      <c r="R48" t="s">
        <v>387</v>
      </c>
      <c r="S48">
        <v>5</v>
      </c>
      <c r="T48" s="2">
        <v>0.05</v>
      </c>
      <c r="U48" t="s">
        <v>388</v>
      </c>
      <c r="V48" t="str">
        <f>CHOOSE(MOD(SalesData[[#This Row],[Row ID]]-1,8)+1,"Aarav Sharma","Ananya Singh","Rohan Verma","Priya Gupta","Arjun Mehta","Neha Kapoor","Rahul Joshi","Sneha Patel")</f>
        <v>Arjun Mehta</v>
      </c>
      <c r="W4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8" s="8">
        <f>IFERROR(VALUE(SUBSTITUTE(SUBSTITUTE(SalesData[[#This Row],[Profit]],"$",""),",",""))/VALUE(SUBSTITUTE(SUBSTITUTE(SalesData[[#This Row],[Sales]],"$",""),",","")),0)</f>
        <v>0.1200636219041127</v>
      </c>
      <c r="Y48" s="6">
        <f>IFERROR(VALUE(SUBSTITUTE(SUBSTITUTE(SalesData[[#This Row],[Sales]],"$",""),",",""))/SalesData[[#This Row],[Quantity]],0)</f>
        <v>44.010000000000005</v>
      </c>
      <c r="Z48">
        <f>YEAR(SalesData[[#This Row],[Order Date]])</f>
        <v>2022</v>
      </c>
      <c r="AA48" t="str">
        <f>TEXT(SalesData[[#This Row],[Order Date]],"mmm")</f>
        <v>Apr</v>
      </c>
      <c r="AB4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9" spans="1:28">
      <c r="A49">
        <v>39</v>
      </c>
      <c r="B49" t="s">
        <v>389</v>
      </c>
      <c r="C49" s="1">
        <v>44672</v>
      </c>
      <c r="D49" s="1">
        <v>44674</v>
      </c>
      <c r="E49" t="s">
        <v>49</v>
      </c>
      <c r="F49" t="s">
        <v>390</v>
      </c>
      <c r="G49" t="s">
        <v>252</v>
      </c>
      <c r="H49" t="s">
        <v>25</v>
      </c>
      <c r="I49" t="s">
        <v>26</v>
      </c>
      <c r="J49" t="s">
        <v>40</v>
      </c>
      <c r="K49" t="s">
        <v>40</v>
      </c>
      <c r="L49">
        <v>33954</v>
      </c>
      <c r="M49" t="s">
        <v>41</v>
      </c>
      <c r="N49" t="s">
        <v>391</v>
      </c>
      <c r="O49" t="s">
        <v>43</v>
      </c>
      <c r="P49" t="s">
        <v>166</v>
      </c>
      <c r="Q49" t="s">
        <v>392</v>
      </c>
      <c r="R49" t="s">
        <v>393</v>
      </c>
      <c r="S49">
        <v>3</v>
      </c>
      <c r="T49" s="2">
        <v>0.3</v>
      </c>
      <c r="U49" t="s">
        <v>394</v>
      </c>
      <c r="V49" t="str">
        <f>CHOOSE(MOD(SalesData[[#This Row],[Row ID]]-1,8)+1,"Aarav Sharma","Ananya Singh","Rohan Verma","Priya Gupta","Arjun Mehta","Neha Kapoor","Rahul Joshi","Sneha Patel")</f>
        <v>Rahul Joshi</v>
      </c>
      <c r="W4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9" s="8">
        <f>IFERROR(VALUE(SUBSTITUTE(SUBSTITUTE(SalesData[[#This Row],[Profit]],"$",""),",",""))/VALUE(SUBSTITUTE(SUBSTITUTE(SalesData[[#This Row],[Sales]],"$",""),",","")),0)</f>
        <v>1.1657729074376311E-3</v>
      </c>
      <c r="Y49" s="6">
        <f>IFERROR(VALUE(SUBSTITUTE(SUBSTITUTE(SalesData[[#This Row],[Sales]],"$",""),",",""))/SalesData[[#This Row],[Quantity]],0)</f>
        <v>14.296666666666667</v>
      </c>
      <c r="Z49">
        <f>YEAR(SalesData[[#This Row],[Order Date]])</f>
        <v>2022</v>
      </c>
      <c r="AA49" t="str">
        <f>TEXT(SalesData[[#This Row],[Order Date]],"mmm")</f>
        <v>Apr</v>
      </c>
      <c r="AB4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0" spans="1:28">
      <c r="A50">
        <v>186</v>
      </c>
      <c r="B50" t="s">
        <v>395</v>
      </c>
      <c r="C50" s="1">
        <v>44673</v>
      </c>
      <c r="D50" s="1">
        <v>44678</v>
      </c>
      <c r="E50" t="s">
        <v>22</v>
      </c>
      <c r="F50" t="s">
        <v>396</v>
      </c>
      <c r="G50" t="s">
        <v>397</v>
      </c>
      <c r="H50" t="s">
        <v>25</v>
      </c>
      <c r="I50" t="s">
        <v>26</v>
      </c>
      <c r="J50" t="s">
        <v>212</v>
      </c>
      <c r="K50" t="s">
        <v>212</v>
      </c>
      <c r="L50">
        <v>87801</v>
      </c>
      <c r="M50" t="s">
        <v>28</v>
      </c>
      <c r="N50" t="s">
        <v>398</v>
      </c>
      <c r="O50" t="s">
        <v>43</v>
      </c>
      <c r="P50" t="s">
        <v>166</v>
      </c>
      <c r="Q50" t="s">
        <v>399</v>
      </c>
      <c r="R50" t="s">
        <v>400</v>
      </c>
      <c r="S50">
        <v>7</v>
      </c>
      <c r="T50" s="2">
        <v>0.3</v>
      </c>
      <c r="U50" t="s">
        <v>401</v>
      </c>
      <c r="V50" t="str">
        <f>CHOOSE(MOD(SalesData[[#This Row],[Row ID]]-1,8)+1,"Aarav Sharma","Ananya Singh","Rohan Verma","Priya Gupta","Arjun Mehta","Neha Kapoor","Rahul Joshi","Sneha Patel")</f>
        <v>Ananya Singh</v>
      </c>
      <c r="W5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0" s="8">
        <f>IFERROR(VALUE(SUBSTITUTE(SUBSTITUTE(SalesData[[#This Row],[Profit]],"$",""),",",""))/VALUE(SUBSTITUTE(SUBSTITUTE(SalesData[[#This Row],[Sales]],"$",""),",","")),0)</f>
        <v>-3.1500572737686139E-2</v>
      </c>
      <c r="Y50" s="6">
        <f>IFERROR(VALUE(SUBSTITUTE(SUBSTITUTE(SalesData[[#This Row],[Sales]],"$",""),",",""))/SalesData[[#This Row],[Quantity]],0)</f>
        <v>17.46</v>
      </c>
      <c r="Z50">
        <f>YEAR(SalesData[[#This Row],[Order Date]])</f>
        <v>2022</v>
      </c>
      <c r="AA50" t="str">
        <f>TEXT(SalesData[[#This Row],[Order Date]],"mmm")</f>
        <v>Apr</v>
      </c>
      <c r="AB5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1" spans="1:28">
      <c r="A51">
        <v>274</v>
      </c>
      <c r="B51" t="s">
        <v>402</v>
      </c>
      <c r="C51" s="1">
        <v>44677</v>
      </c>
      <c r="D51" s="1">
        <v>44681</v>
      </c>
      <c r="E51" t="s">
        <v>36</v>
      </c>
      <c r="F51" t="s">
        <v>403</v>
      </c>
      <c r="G51" t="s">
        <v>134</v>
      </c>
      <c r="H51" t="s">
        <v>25</v>
      </c>
      <c r="I51" t="s">
        <v>26</v>
      </c>
      <c r="J51" t="s">
        <v>52</v>
      </c>
      <c r="K51" t="s">
        <v>52</v>
      </c>
      <c r="L51">
        <v>56546</v>
      </c>
      <c r="M51" t="s">
        <v>41</v>
      </c>
      <c r="N51" t="s">
        <v>404</v>
      </c>
      <c r="O51" t="s">
        <v>64</v>
      </c>
      <c r="P51" t="s">
        <v>405</v>
      </c>
      <c r="Q51" t="s">
        <v>406</v>
      </c>
      <c r="R51" t="s">
        <v>407</v>
      </c>
      <c r="S51">
        <v>7</v>
      </c>
      <c r="T51" s="2">
        <v>0.1</v>
      </c>
      <c r="U51" t="s">
        <v>408</v>
      </c>
      <c r="V51" t="str">
        <f>CHOOSE(MOD(SalesData[[#This Row],[Row ID]]-1,8)+1,"Aarav Sharma","Ananya Singh","Rohan Verma","Priya Gupta","Arjun Mehta","Neha Kapoor","Rahul Joshi","Sneha Patel")</f>
        <v>Ananya Singh</v>
      </c>
      <c r="W5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1" s="8">
        <f>IFERROR(VALUE(SUBSTITUTE(SUBSTITUTE(SalesData[[#This Row],[Profit]],"$",""),",",""))/VALUE(SUBSTITUTE(SUBSTITUTE(SalesData[[#This Row],[Sales]],"$",""),",","")),0)</f>
        <v>9.7774572429425097E-2</v>
      </c>
      <c r="Y51" s="6">
        <f>IFERROR(VALUE(SUBSTITUTE(SUBSTITUTE(SalesData[[#This Row],[Sales]],"$",""),",",""))/SalesData[[#This Row],[Quantity]],0)</f>
        <v>27.731428571428573</v>
      </c>
      <c r="Z51">
        <f>YEAR(SalesData[[#This Row],[Order Date]])</f>
        <v>2022</v>
      </c>
      <c r="AA51" t="str">
        <f>TEXT(SalesData[[#This Row],[Order Date]],"mmm")</f>
        <v>Apr</v>
      </c>
      <c r="AB5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2" spans="1:28">
      <c r="A52">
        <v>54</v>
      </c>
      <c r="B52" t="s">
        <v>409</v>
      </c>
      <c r="C52" s="1">
        <v>44678</v>
      </c>
      <c r="D52" s="1">
        <v>44681</v>
      </c>
      <c r="E52" t="s">
        <v>22</v>
      </c>
      <c r="F52" t="s">
        <v>410</v>
      </c>
      <c r="G52" t="s">
        <v>411</v>
      </c>
      <c r="H52" t="s">
        <v>60</v>
      </c>
      <c r="I52" t="s">
        <v>26</v>
      </c>
      <c r="J52" t="s">
        <v>245</v>
      </c>
      <c r="K52" t="s">
        <v>245</v>
      </c>
      <c r="L52">
        <v>77526</v>
      </c>
      <c r="M52" t="s">
        <v>41</v>
      </c>
      <c r="N52" t="s">
        <v>412</v>
      </c>
      <c r="O52" t="s">
        <v>43</v>
      </c>
      <c r="P52" t="s">
        <v>214</v>
      </c>
      <c r="Q52" t="s">
        <v>413</v>
      </c>
      <c r="R52" t="s">
        <v>414</v>
      </c>
      <c r="S52">
        <v>3</v>
      </c>
      <c r="T52" s="2">
        <v>0.15</v>
      </c>
      <c r="U52" t="s">
        <v>415</v>
      </c>
      <c r="V52" t="str">
        <f>CHOOSE(MOD(SalesData[[#This Row],[Row ID]]-1,8)+1,"Aarav Sharma","Ananya Singh","Rohan Verma","Priya Gupta","Arjun Mehta","Neha Kapoor","Rahul Joshi","Sneha Patel")</f>
        <v>Neha Kapoor</v>
      </c>
      <c r="W5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2" s="8">
        <f>IFERROR(VALUE(SUBSTITUTE(SUBSTITUTE(SalesData[[#This Row],[Profit]],"$",""),",",""))/VALUE(SUBSTITUTE(SUBSTITUTE(SalesData[[#This Row],[Sales]],"$",""),",","")),0)</f>
        <v>8.0840114887505976E-2</v>
      </c>
      <c r="Y52" s="6">
        <f>IFERROR(VALUE(SUBSTITUTE(SUBSTITUTE(SalesData[[#This Row],[Sales]],"$",""),",",""))/SalesData[[#This Row],[Quantity]],0)</f>
        <v>55.706666666666671</v>
      </c>
      <c r="Z52">
        <f>YEAR(SalesData[[#This Row],[Order Date]])</f>
        <v>2022</v>
      </c>
      <c r="AA52" t="str">
        <f>TEXT(SalesData[[#This Row],[Order Date]],"mmm")</f>
        <v>Apr</v>
      </c>
      <c r="AB5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3" spans="1:28">
      <c r="A53">
        <v>174</v>
      </c>
      <c r="B53" t="s">
        <v>416</v>
      </c>
      <c r="C53" s="1">
        <v>44680</v>
      </c>
      <c r="D53" s="1">
        <v>44684</v>
      </c>
      <c r="E53" t="s">
        <v>36</v>
      </c>
      <c r="F53" t="s">
        <v>417</v>
      </c>
      <c r="G53" t="s">
        <v>418</v>
      </c>
      <c r="H53" t="s">
        <v>60</v>
      </c>
      <c r="I53" t="s">
        <v>26</v>
      </c>
      <c r="J53" t="s">
        <v>237</v>
      </c>
      <c r="K53" t="s">
        <v>237</v>
      </c>
      <c r="L53">
        <v>65350</v>
      </c>
      <c r="M53" t="s">
        <v>41</v>
      </c>
      <c r="N53" t="s">
        <v>419</v>
      </c>
      <c r="O53" t="s">
        <v>30</v>
      </c>
      <c r="P53" t="s">
        <v>120</v>
      </c>
      <c r="Q53" t="s">
        <v>420</v>
      </c>
      <c r="R53" t="s">
        <v>421</v>
      </c>
      <c r="S53">
        <v>7</v>
      </c>
      <c r="T53" s="2">
        <v>0.3</v>
      </c>
      <c r="U53" t="s">
        <v>422</v>
      </c>
      <c r="V53" t="str">
        <f>CHOOSE(MOD(SalesData[[#This Row],[Row ID]]-1,8)+1,"Aarav Sharma","Ananya Singh","Rohan Verma","Priya Gupta","Arjun Mehta","Neha Kapoor","Rahul Joshi","Sneha Patel")</f>
        <v>Neha Kapoor</v>
      </c>
      <c r="W5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3" s="8">
        <f>IFERROR(VALUE(SUBSTITUTE(SUBSTITUTE(SalesData[[#This Row],[Profit]],"$",""),",",""))/VALUE(SUBSTITUTE(SUBSTITUTE(SalesData[[#This Row],[Sales]],"$",""),",","")),0)</f>
        <v>-9.5909528392685267E-2</v>
      </c>
      <c r="Y53" s="6">
        <f>IFERROR(VALUE(SUBSTITUTE(SUBSTITUTE(SalesData[[#This Row],[Sales]],"$",""),",",""))/SalesData[[#This Row],[Quantity]],0)</f>
        <v>29.685714285714287</v>
      </c>
      <c r="Z53">
        <f>YEAR(SalesData[[#This Row],[Order Date]])</f>
        <v>2022</v>
      </c>
      <c r="AA53" t="str">
        <f>TEXT(SalesData[[#This Row],[Order Date]],"mmm")</f>
        <v>Apr</v>
      </c>
      <c r="AB5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4" spans="1:28">
      <c r="A54">
        <v>11</v>
      </c>
      <c r="B54" t="s">
        <v>423</v>
      </c>
      <c r="C54" s="1">
        <v>44684</v>
      </c>
      <c r="D54" s="1">
        <v>44686</v>
      </c>
      <c r="E54" t="s">
        <v>36</v>
      </c>
      <c r="F54" t="s">
        <v>424</v>
      </c>
      <c r="G54" t="s">
        <v>425</v>
      </c>
      <c r="H54" t="s">
        <v>60</v>
      </c>
      <c r="I54" t="s">
        <v>26</v>
      </c>
      <c r="J54" t="s">
        <v>61</v>
      </c>
      <c r="K54" t="s">
        <v>61</v>
      </c>
      <c r="L54">
        <v>44754</v>
      </c>
      <c r="M54" t="s">
        <v>62</v>
      </c>
      <c r="N54" t="s">
        <v>426</v>
      </c>
      <c r="O54" t="s">
        <v>43</v>
      </c>
      <c r="P54" t="s">
        <v>83</v>
      </c>
      <c r="Q54" t="s">
        <v>427</v>
      </c>
      <c r="R54" t="s">
        <v>428</v>
      </c>
      <c r="S54">
        <v>3</v>
      </c>
      <c r="T54" s="2">
        <v>0.05</v>
      </c>
      <c r="U54" t="s">
        <v>429</v>
      </c>
      <c r="V54" t="str">
        <f>CHOOSE(MOD(SalesData[[#This Row],[Row ID]]-1,8)+1,"Aarav Sharma","Ananya Singh","Rohan Verma","Priya Gupta","Arjun Mehta","Neha Kapoor","Rahul Joshi","Sneha Patel")</f>
        <v>Rohan Verma</v>
      </c>
      <c r="W5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54" s="8">
        <f>IFERROR(VALUE(SUBSTITUTE(SUBSTITUTE(SalesData[[#This Row],[Profit]],"$",""),",",""))/VALUE(SUBSTITUTE(SUBSTITUTE(SalesData[[#This Row],[Sales]],"$",""),",","")),0)</f>
        <v>0.20191235059760956</v>
      </c>
      <c r="Y54" s="6">
        <f>IFERROR(VALUE(SUBSTITUTE(SUBSTITUTE(SalesData[[#This Row],[Sales]],"$",""),",",""))/SalesData[[#This Row],[Quantity]],0)</f>
        <v>20.916666666666668</v>
      </c>
      <c r="Z54">
        <f>YEAR(SalesData[[#This Row],[Order Date]])</f>
        <v>2022</v>
      </c>
      <c r="AA54" t="str">
        <f>TEXT(SalesData[[#This Row],[Order Date]],"mmm")</f>
        <v>May</v>
      </c>
      <c r="AB5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5" spans="1:28">
      <c r="A55">
        <v>140</v>
      </c>
      <c r="B55" t="s">
        <v>430</v>
      </c>
      <c r="C55" s="1">
        <v>44685</v>
      </c>
      <c r="D55" s="1">
        <v>44691</v>
      </c>
      <c r="E55" t="s">
        <v>22</v>
      </c>
      <c r="F55" t="s">
        <v>431</v>
      </c>
      <c r="G55" t="s">
        <v>432</v>
      </c>
      <c r="H55" t="s">
        <v>25</v>
      </c>
      <c r="I55" t="s">
        <v>26</v>
      </c>
      <c r="J55" t="s">
        <v>237</v>
      </c>
      <c r="K55" t="s">
        <v>237</v>
      </c>
      <c r="L55">
        <v>60939</v>
      </c>
      <c r="M55" t="s">
        <v>41</v>
      </c>
      <c r="N55" t="s">
        <v>433</v>
      </c>
      <c r="O55" t="s">
        <v>30</v>
      </c>
      <c r="P55" t="s">
        <v>222</v>
      </c>
      <c r="Q55" t="s">
        <v>434</v>
      </c>
      <c r="R55" t="s">
        <v>248</v>
      </c>
      <c r="S55">
        <v>5</v>
      </c>
      <c r="T55" s="2">
        <v>0.1</v>
      </c>
      <c r="U55" t="s">
        <v>435</v>
      </c>
      <c r="V55" t="str">
        <f>CHOOSE(MOD(SalesData[[#This Row],[Row ID]]-1,8)+1,"Aarav Sharma","Ananya Singh","Rohan Verma","Priya Gupta","Arjun Mehta","Neha Kapoor","Rahul Joshi","Sneha Patel")</f>
        <v>Priya Gupta</v>
      </c>
      <c r="W5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5" s="8">
        <f>IFERROR(VALUE(SUBSTITUTE(SUBSTITUTE(SalesData[[#This Row],[Profit]],"$",""),",",""))/VALUE(SUBSTITUTE(SUBSTITUTE(SalesData[[#This Row],[Sales]],"$",""),",","")),0)</f>
        <v>8.5398179094156978E-2</v>
      </c>
      <c r="Y55" s="6">
        <f>IFERROR(VALUE(SUBSTITUTE(SUBSTITUTE(SalesData[[#This Row],[Sales]],"$",""),",",""))/SalesData[[#This Row],[Quantity]],0)</f>
        <v>17.353999999999999</v>
      </c>
      <c r="Z55">
        <f>YEAR(SalesData[[#This Row],[Order Date]])</f>
        <v>2022</v>
      </c>
      <c r="AA55" t="str">
        <f>TEXT(SalesData[[#This Row],[Order Date]],"mmm")</f>
        <v>May</v>
      </c>
      <c r="AB5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6" spans="1:28">
      <c r="A56">
        <v>156</v>
      </c>
      <c r="B56" t="s">
        <v>436</v>
      </c>
      <c r="C56" s="1">
        <v>44686</v>
      </c>
      <c r="D56" s="1">
        <v>44689</v>
      </c>
      <c r="E56" t="s">
        <v>49</v>
      </c>
      <c r="F56" t="s">
        <v>437</v>
      </c>
      <c r="G56" t="s">
        <v>211</v>
      </c>
      <c r="H56" t="s">
        <v>39</v>
      </c>
      <c r="I56" t="s">
        <v>26</v>
      </c>
      <c r="J56" t="s">
        <v>438</v>
      </c>
      <c r="K56" t="s">
        <v>438</v>
      </c>
      <c r="L56">
        <v>37716</v>
      </c>
      <c r="M56" t="s">
        <v>28</v>
      </c>
      <c r="N56" t="s">
        <v>439</v>
      </c>
      <c r="O56" t="s">
        <v>43</v>
      </c>
      <c r="P56" t="s">
        <v>189</v>
      </c>
      <c r="Q56" t="s">
        <v>440</v>
      </c>
      <c r="R56" t="s">
        <v>441</v>
      </c>
      <c r="S56">
        <v>3</v>
      </c>
      <c r="T56" s="2">
        <v>0.5</v>
      </c>
      <c r="U56" t="s">
        <v>442</v>
      </c>
      <c r="V56" t="str">
        <f>CHOOSE(MOD(SalesData[[#This Row],[Row ID]]-1,8)+1,"Aarav Sharma","Ananya Singh","Rohan Verma","Priya Gupta","Arjun Mehta","Neha Kapoor","Rahul Joshi","Sneha Patel")</f>
        <v>Priya Gupta</v>
      </c>
      <c r="W5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6" s="8">
        <f>IFERROR(VALUE(SUBSTITUTE(SUBSTITUTE(SalesData[[#This Row],[Profit]],"$",""),",",""))/VALUE(SUBSTITUTE(SUBSTITUTE(SalesData[[#This Row],[Sales]],"$",""),",","")),0)</f>
        <v>-0.22906403940886702</v>
      </c>
      <c r="Y56" s="6">
        <f>IFERROR(VALUE(SUBSTITUTE(SUBSTITUTE(SalesData[[#This Row],[Sales]],"$",""),",",""))/SalesData[[#This Row],[Quantity]],0)</f>
        <v>5.4133333333333331</v>
      </c>
      <c r="Z56">
        <f>YEAR(SalesData[[#This Row],[Order Date]])</f>
        <v>2022</v>
      </c>
      <c r="AA56" t="str">
        <f>TEXT(SalesData[[#This Row],[Order Date]],"mmm")</f>
        <v>May</v>
      </c>
      <c r="AB5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7" spans="1:28">
      <c r="A57">
        <v>92</v>
      </c>
      <c r="B57" t="s">
        <v>443</v>
      </c>
      <c r="C57" s="1">
        <v>44687</v>
      </c>
      <c r="D57" s="1">
        <v>44693</v>
      </c>
      <c r="E57" t="s">
        <v>36</v>
      </c>
      <c r="F57" t="s">
        <v>444</v>
      </c>
      <c r="G57" t="s">
        <v>445</v>
      </c>
      <c r="H57" t="s">
        <v>25</v>
      </c>
      <c r="I57" t="s">
        <v>26</v>
      </c>
      <c r="J57" t="s">
        <v>81</v>
      </c>
      <c r="K57" t="s">
        <v>81</v>
      </c>
      <c r="L57">
        <v>14470</v>
      </c>
      <c r="M57" t="s">
        <v>62</v>
      </c>
      <c r="N57" t="s">
        <v>97</v>
      </c>
      <c r="O57" t="s">
        <v>64</v>
      </c>
      <c r="P57" t="s">
        <v>405</v>
      </c>
      <c r="Q57" t="s">
        <v>446</v>
      </c>
      <c r="R57" t="s">
        <v>447</v>
      </c>
      <c r="S57">
        <v>6</v>
      </c>
      <c r="T57" s="2">
        <v>0.1</v>
      </c>
      <c r="U57" t="s">
        <v>448</v>
      </c>
      <c r="V57" t="str">
        <f>CHOOSE(MOD(SalesData[[#This Row],[Row ID]]-1,8)+1,"Aarav Sharma","Ananya Singh","Rohan Verma","Priya Gupta","Arjun Mehta","Neha Kapoor","Rahul Joshi","Sneha Patel")</f>
        <v>Priya Gupta</v>
      </c>
      <c r="W5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7" s="8">
        <f>IFERROR(VALUE(SUBSTITUTE(SUBSTITUTE(SalesData[[#This Row],[Profit]],"$",""),",",""))/VALUE(SUBSTITUTE(SUBSTITUTE(SalesData[[#This Row],[Sales]],"$",""),",","")),0)</f>
        <v>0.11603865710341112</v>
      </c>
      <c r="Y57" s="6">
        <f>IFERROR(VALUE(SUBSTITUTE(SUBSTITUTE(SalesData[[#This Row],[Sales]],"$",""),",",""))/SalesData[[#This Row],[Quantity]],0)</f>
        <v>49.495000000000005</v>
      </c>
      <c r="Z57">
        <f>YEAR(SalesData[[#This Row],[Order Date]])</f>
        <v>2022</v>
      </c>
      <c r="AA57" t="str">
        <f>TEXT(SalesData[[#This Row],[Order Date]],"mmm")</f>
        <v>May</v>
      </c>
      <c r="AB5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8" spans="1:28">
      <c r="A58">
        <v>93</v>
      </c>
      <c r="B58" t="s">
        <v>449</v>
      </c>
      <c r="C58" s="1">
        <v>44690</v>
      </c>
      <c r="D58" s="1">
        <v>44694</v>
      </c>
      <c r="E58" t="s">
        <v>36</v>
      </c>
      <c r="F58" t="s">
        <v>450</v>
      </c>
      <c r="G58" t="s">
        <v>451</v>
      </c>
      <c r="H58" t="s">
        <v>60</v>
      </c>
      <c r="I58" t="s">
        <v>26</v>
      </c>
      <c r="J58" t="s">
        <v>173</v>
      </c>
      <c r="K58" t="s">
        <v>173</v>
      </c>
      <c r="L58">
        <v>47208</v>
      </c>
      <c r="M58" t="s">
        <v>73</v>
      </c>
      <c r="N58" t="s">
        <v>452</v>
      </c>
      <c r="O58" t="s">
        <v>43</v>
      </c>
      <c r="P58" t="s">
        <v>44</v>
      </c>
      <c r="Q58" t="s">
        <v>453</v>
      </c>
      <c r="R58" t="s">
        <v>454</v>
      </c>
      <c r="S58">
        <v>7</v>
      </c>
      <c r="T58" s="2">
        <v>0.15</v>
      </c>
      <c r="U58" t="s">
        <v>455</v>
      </c>
      <c r="V58" t="str">
        <f>CHOOSE(MOD(SalesData[[#This Row],[Row ID]]-1,8)+1,"Aarav Sharma","Ananya Singh","Rohan Verma","Priya Gupta","Arjun Mehta","Neha Kapoor","Rahul Joshi","Sneha Patel")</f>
        <v>Arjun Mehta</v>
      </c>
      <c r="W5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8" s="8">
        <f>IFERROR(VALUE(SUBSTITUTE(SUBSTITUTE(SalesData[[#This Row],[Profit]],"$",""),",",""))/VALUE(SUBSTITUTE(SUBSTITUTE(SalesData[[#This Row],[Sales]],"$",""),",","")),0)</f>
        <v>0.22258273848150553</v>
      </c>
      <c r="Y58" s="6">
        <f>IFERROR(VALUE(SUBSTITUTE(SUBSTITUTE(SalesData[[#This Row],[Sales]],"$",""),",",""))/SalesData[[#This Row],[Quantity]],0)</f>
        <v>8.805714285714286</v>
      </c>
      <c r="Z58">
        <f>YEAR(SalesData[[#This Row],[Order Date]])</f>
        <v>2022</v>
      </c>
      <c r="AA58" t="str">
        <f>TEXT(SalesData[[#This Row],[Order Date]],"mmm")</f>
        <v>May</v>
      </c>
      <c r="AB5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9" spans="1:28">
      <c r="A59">
        <v>479</v>
      </c>
      <c r="B59" t="s">
        <v>456</v>
      </c>
      <c r="C59" s="1">
        <v>44690</v>
      </c>
      <c r="D59" s="1">
        <v>44693</v>
      </c>
      <c r="E59" t="s">
        <v>22</v>
      </c>
      <c r="F59" t="s">
        <v>457</v>
      </c>
      <c r="G59" t="s">
        <v>458</v>
      </c>
      <c r="H59" t="s">
        <v>25</v>
      </c>
      <c r="I59" t="s">
        <v>26</v>
      </c>
      <c r="J59" t="s">
        <v>150</v>
      </c>
      <c r="K59" t="s">
        <v>150</v>
      </c>
      <c r="L59">
        <v>82936</v>
      </c>
      <c r="M59" t="s">
        <v>73</v>
      </c>
      <c r="N59" t="s">
        <v>213</v>
      </c>
      <c r="O59" t="s">
        <v>43</v>
      </c>
      <c r="P59" t="s">
        <v>166</v>
      </c>
      <c r="Q59" t="s">
        <v>459</v>
      </c>
      <c r="R59" t="s">
        <v>460</v>
      </c>
      <c r="S59">
        <v>1</v>
      </c>
      <c r="T59" s="2">
        <v>0.1</v>
      </c>
      <c r="U59" t="s">
        <v>461</v>
      </c>
      <c r="V59" t="str">
        <f>CHOOSE(MOD(SalesData[[#This Row],[Row ID]]-1,8)+1,"Aarav Sharma","Ananya Singh","Rohan Verma","Priya Gupta","Arjun Mehta","Neha Kapoor","Rahul Joshi","Sneha Patel")</f>
        <v>Rahul Joshi</v>
      </c>
      <c r="W5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59" s="8">
        <f>IFERROR(VALUE(SUBSTITUTE(SUBSTITUTE(SalesData[[#This Row],[Profit]],"$",""),",",""))/VALUE(SUBSTITUTE(SUBSTITUTE(SalesData[[#This Row],[Sales]],"$",""),",","")),0)</f>
        <v>0.23759280969128566</v>
      </c>
      <c r="Y59" s="6">
        <f>IFERROR(VALUE(SUBSTITUTE(SUBSTITUTE(SalesData[[#This Row],[Sales]],"$",""),",",""))/SalesData[[#This Row],[Quantity]],0)</f>
        <v>51.18</v>
      </c>
      <c r="Z59">
        <f>YEAR(SalesData[[#This Row],[Order Date]])</f>
        <v>2022</v>
      </c>
      <c r="AA59" t="str">
        <f>TEXT(SalesData[[#This Row],[Order Date]],"mmm")</f>
        <v>May</v>
      </c>
      <c r="AB5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60" spans="1:28">
      <c r="A60">
        <v>262</v>
      </c>
      <c r="B60" t="s">
        <v>462</v>
      </c>
      <c r="C60" s="1">
        <v>44691</v>
      </c>
      <c r="D60" s="1">
        <v>44694</v>
      </c>
      <c r="E60" t="s">
        <v>36</v>
      </c>
      <c r="F60" t="s">
        <v>463</v>
      </c>
      <c r="G60" t="s">
        <v>464</v>
      </c>
      <c r="H60" t="s">
        <v>25</v>
      </c>
      <c r="I60" t="s">
        <v>26</v>
      </c>
      <c r="J60" t="s">
        <v>438</v>
      </c>
      <c r="K60" t="s">
        <v>438</v>
      </c>
      <c r="L60">
        <v>58899</v>
      </c>
      <c r="M60" t="s">
        <v>28</v>
      </c>
      <c r="N60" t="s">
        <v>465</v>
      </c>
      <c r="O60" t="s">
        <v>43</v>
      </c>
      <c r="P60" t="s">
        <v>189</v>
      </c>
      <c r="Q60" t="s">
        <v>466</v>
      </c>
      <c r="R60" t="s">
        <v>467</v>
      </c>
      <c r="S60">
        <v>5</v>
      </c>
      <c r="T60" s="2">
        <v>0.3</v>
      </c>
      <c r="U60" t="s">
        <v>468</v>
      </c>
      <c r="V60" t="str">
        <f>CHOOSE(MOD(SalesData[[#This Row],[Row ID]]-1,8)+1,"Aarav Sharma","Ananya Singh","Rohan Verma","Priya Gupta","Arjun Mehta","Neha Kapoor","Rahul Joshi","Sneha Patel")</f>
        <v>Neha Kapoor</v>
      </c>
      <c r="W6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60" s="8">
        <f>IFERROR(VALUE(SUBSTITUTE(SUBSTITUTE(SalesData[[#This Row],[Profit]],"$",""),",",""))/VALUE(SUBSTITUTE(SUBSTITUTE(SalesData[[#This Row],[Sales]],"$",""),",","")),0)</f>
        <v>1.9843190397831768E-2</v>
      </c>
      <c r="Y60" s="6">
        <f>IFERROR(VALUE(SUBSTITUTE(SUBSTITUTE(SalesData[[#This Row],[Sales]],"$",""),",",""))/SalesData[[#This Row],[Quantity]],0)</f>
        <v>20.661999999999999</v>
      </c>
      <c r="Z60">
        <f>YEAR(SalesData[[#This Row],[Order Date]])</f>
        <v>2022</v>
      </c>
      <c r="AA60" t="str">
        <f>TEXT(SalesData[[#This Row],[Order Date]],"mmm")</f>
        <v>May</v>
      </c>
      <c r="AB6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61" spans="1:28">
      <c r="A61">
        <v>89</v>
      </c>
      <c r="B61" t="s">
        <v>469</v>
      </c>
      <c r="C61" s="1">
        <v>44691</v>
      </c>
      <c r="D61" s="1">
        <v>44693</v>
      </c>
      <c r="E61" t="s">
        <v>22</v>
      </c>
      <c r="F61" t="s">
        <v>470</v>
      </c>
      <c r="G61" t="s">
        <v>471</v>
      </c>
      <c r="H61" t="s">
        <v>25</v>
      </c>
      <c r="I61" t="s">
        <v>26</v>
      </c>
      <c r="J61" t="s">
        <v>150</v>
      </c>
      <c r="K61" t="s">
        <v>150</v>
      </c>
      <c r="L61">
        <v>62233</v>
      </c>
      <c r="M61" t="s">
        <v>73</v>
      </c>
      <c r="N61" t="s">
        <v>472</v>
      </c>
      <c r="O61" t="s">
        <v>43</v>
      </c>
      <c r="P61" t="s">
        <v>214</v>
      </c>
      <c r="Q61" t="s">
        <v>473</v>
      </c>
      <c r="R61" t="s">
        <v>474</v>
      </c>
      <c r="S61">
        <v>5</v>
      </c>
      <c r="T61" s="2">
        <v>0.05</v>
      </c>
      <c r="U61" t="s">
        <v>475</v>
      </c>
      <c r="V61" t="str">
        <f>CHOOSE(MOD(SalesData[[#This Row],[Row ID]]-1,8)+1,"Aarav Sharma","Ananya Singh","Rohan Verma","Priya Gupta","Arjun Mehta","Neha Kapoor","Rahul Joshi","Sneha Patel")</f>
        <v>Aarav Sharma</v>
      </c>
      <c r="W6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61" s="8">
        <f>IFERROR(VALUE(SUBSTITUTE(SUBSTITUTE(SalesData[[#This Row],[Profit]],"$",""),",",""))/VALUE(SUBSTITUTE(SUBSTITUTE(SalesData[[#This Row],[Sales]],"$",""),",","")),0)</f>
        <v>0.17563050744454575</v>
      </c>
      <c r="Y61" s="6">
        <f>IFERROR(VALUE(SUBSTITUTE(SUBSTITUTE(SalesData[[#This Row],[Sales]],"$",""),",",""))/SalesData[[#This Row],[Quantity]],0)</f>
        <v>26.327999999999996</v>
      </c>
      <c r="Z61">
        <f>YEAR(SalesData[[#This Row],[Order Date]])</f>
        <v>2022</v>
      </c>
      <c r="AA61" t="str">
        <f>TEXT(SalesData[[#This Row],[Order Date]],"mmm")</f>
        <v>May</v>
      </c>
      <c r="AB6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62" spans="1:28">
      <c r="A62">
        <v>315</v>
      </c>
      <c r="B62" t="s">
        <v>476</v>
      </c>
      <c r="C62" s="1">
        <v>44691</v>
      </c>
      <c r="D62" s="1">
        <v>44694</v>
      </c>
      <c r="E62" t="s">
        <v>36</v>
      </c>
      <c r="F62" t="s">
        <v>477</v>
      </c>
      <c r="G62" t="s">
        <v>478</v>
      </c>
      <c r="H62" t="s">
        <v>25</v>
      </c>
      <c r="I62" t="s">
        <v>26</v>
      </c>
      <c r="J62" t="s">
        <v>81</v>
      </c>
      <c r="K62" t="s">
        <v>81</v>
      </c>
      <c r="L62">
        <v>42167</v>
      </c>
      <c r="M62" t="s">
        <v>62</v>
      </c>
      <c r="N62" t="s">
        <v>479</v>
      </c>
      <c r="O62" t="s">
        <v>64</v>
      </c>
      <c r="P62" t="s">
        <v>405</v>
      </c>
      <c r="Q62" t="s">
        <v>480</v>
      </c>
      <c r="R62" t="s">
        <v>481</v>
      </c>
      <c r="S62">
        <v>3</v>
      </c>
      <c r="T62" s="2">
        <v>0</v>
      </c>
      <c r="U62" t="s">
        <v>482</v>
      </c>
      <c r="V62" t="str">
        <f>CHOOSE(MOD(SalesData[[#This Row],[Row ID]]-1,8)+1,"Aarav Sharma","Ananya Singh","Rohan Verma","Priya Gupta","Arjun Mehta","Neha Kapoor","Rahul Joshi","Sneha Patel")</f>
        <v>Rohan Verma</v>
      </c>
      <c r="W6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62" s="8">
        <f>IFERROR(VALUE(SUBSTITUTE(SUBSTITUTE(SalesData[[#This Row],[Profit]],"$",""),",",""))/VALUE(SUBSTITUTE(SUBSTITUTE(SalesData[[#This Row],[Sales]],"$",""),",","")),0)</f>
        <v>0.2781675105227841</v>
      </c>
      <c r="Y62" s="6">
        <f>IFERROR(VALUE(SUBSTITUTE(SUBSTITUTE(SalesData[[#This Row],[Sales]],"$",""),",",""))/SalesData[[#This Row],[Quantity]],0)</f>
        <v>54.643333333333338</v>
      </c>
      <c r="Z62">
        <f>YEAR(SalesData[[#This Row],[Order Date]])</f>
        <v>2022</v>
      </c>
      <c r="AA62" t="str">
        <f>TEXT(SalesData[[#This Row],[Order Date]],"mmm")</f>
        <v>May</v>
      </c>
      <c r="AB6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63" spans="1:28">
      <c r="A63">
        <v>51</v>
      </c>
      <c r="B63" t="s">
        <v>483</v>
      </c>
      <c r="C63" s="1">
        <v>44691</v>
      </c>
      <c r="D63" s="1">
        <v>44692</v>
      </c>
      <c r="E63" t="s">
        <v>49</v>
      </c>
      <c r="F63" t="s">
        <v>484</v>
      </c>
      <c r="G63" t="s">
        <v>485</v>
      </c>
      <c r="H63" t="s">
        <v>39</v>
      </c>
      <c r="I63" t="s">
        <v>26</v>
      </c>
      <c r="J63" t="s">
        <v>40</v>
      </c>
      <c r="K63" t="s">
        <v>40</v>
      </c>
      <c r="L63">
        <v>12443</v>
      </c>
      <c r="M63" t="s">
        <v>41</v>
      </c>
      <c r="N63" t="s">
        <v>486</v>
      </c>
      <c r="O63" t="s">
        <v>43</v>
      </c>
      <c r="P63" t="s">
        <v>83</v>
      </c>
      <c r="Q63" t="s">
        <v>487</v>
      </c>
      <c r="R63" t="s">
        <v>488</v>
      </c>
      <c r="S63">
        <v>2</v>
      </c>
      <c r="T63" s="2">
        <v>0.1</v>
      </c>
      <c r="U63" t="s">
        <v>489</v>
      </c>
      <c r="V63" t="str">
        <f>CHOOSE(MOD(SalesData[[#This Row],[Row ID]]-1,8)+1,"Aarav Sharma","Ananya Singh","Rohan Verma","Priya Gupta","Arjun Mehta","Neha Kapoor","Rahul Joshi","Sneha Patel")</f>
        <v>Rohan Verma</v>
      </c>
      <c r="W6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63" s="8">
        <f>IFERROR(VALUE(SUBSTITUTE(SUBSTITUTE(SalesData[[#This Row],[Profit]],"$",""),",",""))/VALUE(SUBSTITUTE(SUBSTITUTE(SalesData[[#This Row],[Sales]],"$",""),",","")),0)</f>
        <v>0.11169431801497577</v>
      </c>
      <c r="Y63" s="6">
        <f>IFERROR(VALUE(SUBSTITUTE(SUBSTITUTE(SalesData[[#This Row],[Sales]],"$",""),",",""))/SalesData[[#This Row],[Quantity]],0)</f>
        <v>136.22</v>
      </c>
      <c r="Z63">
        <f>YEAR(SalesData[[#This Row],[Order Date]])</f>
        <v>2022</v>
      </c>
      <c r="AA63" t="str">
        <f>TEXT(SalesData[[#This Row],[Order Date]],"mmm")</f>
        <v>May</v>
      </c>
      <c r="AB6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64" spans="1:28">
      <c r="A64">
        <v>146</v>
      </c>
      <c r="B64" t="s">
        <v>490</v>
      </c>
      <c r="C64" s="1">
        <v>44693</v>
      </c>
      <c r="D64" s="1">
        <v>44697</v>
      </c>
      <c r="E64" t="s">
        <v>382</v>
      </c>
      <c r="F64" t="s">
        <v>491</v>
      </c>
      <c r="G64" t="s">
        <v>492</v>
      </c>
      <c r="H64" t="s">
        <v>39</v>
      </c>
      <c r="I64" t="s">
        <v>26</v>
      </c>
      <c r="J64" t="s">
        <v>27</v>
      </c>
      <c r="K64" t="s">
        <v>27</v>
      </c>
      <c r="L64">
        <v>38933</v>
      </c>
      <c r="M64" t="s">
        <v>28</v>
      </c>
      <c r="N64" t="s">
        <v>493</v>
      </c>
      <c r="O64" t="s">
        <v>30</v>
      </c>
      <c r="P64" t="s">
        <v>197</v>
      </c>
      <c r="Q64" t="s">
        <v>494</v>
      </c>
      <c r="R64" t="s">
        <v>495</v>
      </c>
      <c r="S64">
        <v>2</v>
      </c>
      <c r="T64" s="2">
        <v>0.15</v>
      </c>
      <c r="U64" t="s">
        <v>496</v>
      </c>
      <c r="V64" t="str">
        <f>CHOOSE(MOD(SalesData[[#This Row],[Row ID]]-1,8)+1,"Aarav Sharma","Ananya Singh","Rohan Verma","Priya Gupta","Arjun Mehta","Neha Kapoor","Rahul Joshi","Sneha Patel")</f>
        <v>Ananya Singh</v>
      </c>
      <c r="W6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64" s="8">
        <f>IFERROR(VALUE(SUBSTITUTE(SUBSTITUTE(SalesData[[#This Row],[Profit]],"$",""),",",""))/VALUE(SUBSTITUTE(SUBSTITUTE(SalesData[[#This Row],[Sales]],"$",""),",","")),0)</f>
        <v>8.3298611111111101E-2</v>
      </c>
      <c r="Y64" s="6">
        <f>IFERROR(VALUE(SUBSTITUTE(SUBSTITUTE(SalesData[[#This Row],[Sales]],"$",""),",",""))/SalesData[[#This Row],[Quantity]],0)</f>
        <v>144</v>
      </c>
      <c r="Z64">
        <f>YEAR(SalesData[[#This Row],[Order Date]])</f>
        <v>2022</v>
      </c>
      <c r="AA64" t="str">
        <f>TEXT(SalesData[[#This Row],[Order Date]],"mmm")</f>
        <v>May</v>
      </c>
      <c r="AB6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65" spans="1:28">
      <c r="A65">
        <v>556</v>
      </c>
      <c r="B65" t="s">
        <v>497</v>
      </c>
      <c r="C65" s="1">
        <v>44693</v>
      </c>
      <c r="D65" s="1">
        <v>44695</v>
      </c>
      <c r="E65" t="s">
        <v>49</v>
      </c>
      <c r="F65" t="s">
        <v>498</v>
      </c>
      <c r="G65" t="s">
        <v>195</v>
      </c>
      <c r="H65" t="s">
        <v>60</v>
      </c>
      <c r="I65" t="s">
        <v>26</v>
      </c>
      <c r="J65" t="s">
        <v>229</v>
      </c>
      <c r="K65" t="s">
        <v>229</v>
      </c>
      <c r="L65">
        <v>69254</v>
      </c>
      <c r="M65" t="s">
        <v>73</v>
      </c>
      <c r="N65" t="s">
        <v>499</v>
      </c>
      <c r="O65" t="s">
        <v>43</v>
      </c>
      <c r="P65" t="s">
        <v>44</v>
      </c>
      <c r="Q65" t="s">
        <v>500</v>
      </c>
      <c r="R65" t="s">
        <v>501</v>
      </c>
      <c r="S65">
        <v>4</v>
      </c>
      <c r="T65" s="2">
        <v>0.15</v>
      </c>
      <c r="U65" t="s">
        <v>502</v>
      </c>
      <c r="V65" t="str">
        <f>CHOOSE(MOD(SalesData[[#This Row],[Row ID]]-1,8)+1,"Aarav Sharma","Ananya Singh","Rohan Verma","Priya Gupta","Arjun Mehta","Neha Kapoor","Rahul Joshi","Sneha Patel")</f>
        <v>Priya Gupta</v>
      </c>
      <c r="W6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65" s="8">
        <f>IFERROR(VALUE(SUBSTITUTE(SUBSTITUTE(SalesData[[#This Row],[Profit]],"$",""),",",""))/VALUE(SUBSTITUTE(SUBSTITUTE(SalesData[[#This Row],[Sales]],"$",""),",","")),0)</f>
        <v>0.10605263157894737</v>
      </c>
      <c r="Y65" s="6">
        <f>IFERROR(VALUE(SUBSTITUTE(SUBSTITUTE(SalesData[[#This Row],[Sales]],"$",""),",",""))/SalesData[[#This Row],[Quantity]],0)</f>
        <v>9.5</v>
      </c>
      <c r="Z65">
        <f>YEAR(SalesData[[#This Row],[Order Date]])</f>
        <v>2022</v>
      </c>
      <c r="AA65" t="str">
        <f>TEXT(SalesData[[#This Row],[Order Date]],"mmm")</f>
        <v>May</v>
      </c>
      <c r="AB6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66" spans="1:28">
      <c r="A66">
        <v>357</v>
      </c>
      <c r="B66" t="s">
        <v>503</v>
      </c>
      <c r="C66" s="1">
        <v>44694</v>
      </c>
      <c r="D66" s="1">
        <v>44695</v>
      </c>
      <c r="E66" t="s">
        <v>36</v>
      </c>
      <c r="F66" t="s">
        <v>504</v>
      </c>
      <c r="G66" t="s">
        <v>505</v>
      </c>
      <c r="H66" t="s">
        <v>25</v>
      </c>
      <c r="I66" t="s">
        <v>26</v>
      </c>
      <c r="J66" t="s">
        <v>81</v>
      </c>
      <c r="K66" t="s">
        <v>81</v>
      </c>
      <c r="L66">
        <v>42930</v>
      </c>
      <c r="M66" t="s">
        <v>62</v>
      </c>
      <c r="N66" t="s">
        <v>89</v>
      </c>
      <c r="O66" t="s">
        <v>30</v>
      </c>
      <c r="P66" t="s">
        <v>31</v>
      </c>
      <c r="Q66" t="s">
        <v>506</v>
      </c>
      <c r="R66" t="s">
        <v>507</v>
      </c>
      <c r="S66">
        <v>3</v>
      </c>
      <c r="T66" s="2">
        <v>0.2</v>
      </c>
      <c r="U66" t="s">
        <v>508</v>
      </c>
      <c r="V66" t="str">
        <f>CHOOSE(MOD(SalesData[[#This Row],[Row ID]]-1,8)+1,"Aarav Sharma","Ananya Singh","Rohan Verma","Priya Gupta","Arjun Mehta","Neha Kapoor","Rahul Joshi","Sneha Patel")</f>
        <v>Arjun Mehta</v>
      </c>
      <c r="W6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66" s="8">
        <f>IFERROR(VALUE(SUBSTITUTE(SUBSTITUTE(SalesData[[#This Row],[Profit]],"$",""),",",""))/VALUE(SUBSTITUTE(SUBSTITUTE(SalesData[[#This Row],[Sales]],"$",""),",","")),0)</f>
        <v>2.4991589368962368E-3</v>
      </c>
      <c r="Y66" s="6">
        <f>IFERROR(VALUE(SUBSTITUTE(SUBSTITUTE(SalesData[[#This Row],[Sales]],"$",""),",",""))/SalesData[[#This Row],[Quantity]],0)</f>
        <v>69.356666666666669</v>
      </c>
      <c r="Z66">
        <f>YEAR(SalesData[[#This Row],[Order Date]])</f>
        <v>2022</v>
      </c>
      <c r="AA66" t="str">
        <f>TEXT(SalesData[[#This Row],[Order Date]],"mmm")</f>
        <v>May</v>
      </c>
      <c r="AB6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67" spans="1:28">
      <c r="A67">
        <v>380</v>
      </c>
      <c r="B67" t="s">
        <v>509</v>
      </c>
      <c r="C67" s="1">
        <v>44694</v>
      </c>
      <c r="D67" s="1">
        <v>44696</v>
      </c>
      <c r="E67" t="s">
        <v>36</v>
      </c>
      <c r="F67" t="s">
        <v>510</v>
      </c>
      <c r="G67" t="s">
        <v>511</v>
      </c>
      <c r="H67" t="s">
        <v>25</v>
      </c>
      <c r="I67" t="s">
        <v>26</v>
      </c>
      <c r="J67" t="s">
        <v>229</v>
      </c>
      <c r="K67" t="s">
        <v>229</v>
      </c>
      <c r="L67">
        <v>44160</v>
      </c>
      <c r="M67" t="s">
        <v>73</v>
      </c>
      <c r="N67" t="s">
        <v>512</v>
      </c>
      <c r="O67" t="s">
        <v>30</v>
      </c>
      <c r="P67" t="s">
        <v>222</v>
      </c>
      <c r="Q67" t="s">
        <v>513</v>
      </c>
      <c r="R67" t="s">
        <v>514</v>
      </c>
      <c r="S67">
        <v>2</v>
      </c>
      <c r="T67" s="2">
        <v>0.1</v>
      </c>
      <c r="U67" t="s">
        <v>515</v>
      </c>
      <c r="V67" t="str">
        <f>CHOOSE(MOD(SalesData[[#This Row],[Row ID]]-1,8)+1,"Aarav Sharma","Ananya Singh","Rohan Verma","Priya Gupta","Arjun Mehta","Neha Kapoor","Rahul Joshi","Sneha Patel")</f>
        <v>Priya Gupta</v>
      </c>
      <c r="W6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67" s="8">
        <f>IFERROR(VALUE(SUBSTITUTE(SUBSTITUTE(SalesData[[#This Row],[Profit]],"$",""),",",""))/VALUE(SUBSTITUTE(SUBSTITUTE(SalesData[[#This Row],[Sales]],"$",""),",","")),0)</f>
        <v>0.10963577685569387</v>
      </c>
      <c r="Y67" s="6">
        <f>IFERROR(VALUE(SUBSTITUTE(SUBSTITUTE(SalesData[[#This Row],[Sales]],"$",""),",",""))/SalesData[[#This Row],[Quantity]],0)</f>
        <v>54.225000000000001</v>
      </c>
      <c r="Z67">
        <f>YEAR(SalesData[[#This Row],[Order Date]])</f>
        <v>2022</v>
      </c>
      <c r="AA67" t="str">
        <f>TEXT(SalesData[[#This Row],[Order Date]],"mmm")</f>
        <v>May</v>
      </c>
      <c r="AB6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68" spans="1:28">
      <c r="A68">
        <v>241</v>
      </c>
      <c r="B68" t="s">
        <v>516</v>
      </c>
      <c r="C68" s="1">
        <v>44698</v>
      </c>
      <c r="D68" s="1">
        <v>44700</v>
      </c>
      <c r="E68" t="s">
        <v>22</v>
      </c>
      <c r="F68" t="s">
        <v>517</v>
      </c>
      <c r="G68" t="s">
        <v>518</v>
      </c>
      <c r="H68" t="s">
        <v>25</v>
      </c>
      <c r="I68" t="s">
        <v>26</v>
      </c>
      <c r="J68" t="s">
        <v>96</v>
      </c>
      <c r="K68" t="s">
        <v>96</v>
      </c>
      <c r="L68">
        <v>97234</v>
      </c>
      <c r="M68" t="s">
        <v>28</v>
      </c>
      <c r="N68" t="s">
        <v>519</v>
      </c>
      <c r="O68" t="s">
        <v>43</v>
      </c>
      <c r="P68" t="s">
        <v>189</v>
      </c>
      <c r="Q68" t="s">
        <v>520</v>
      </c>
      <c r="R68" t="s">
        <v>521</v>
      </c>
      <c r="S68">
        <v>6</v>
      </c>
      <c r="T68" s="2">
        <v>0</v>
      </c>
      <c r="U68" t="s">
        <v>522</v>
      </c>
      <c r="V68" t="str">
        <f>CHOOSE(MOD(SalesData[[#This Row],[Row ID]]-1,8)+1,"Aarav Sharma","Ananya Singh","Rohan Verma","Priya Gupta","Arjun Mehta","Neha Kapoor","Rahul Joshi","Sneha Patel")</f>
        <v>Aarav Sharma</v>
      </c>
      <c r="W6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68" s="8">
        <f>IFERROR(VALUE(SUBSTITUTE(SUBSTITUTE(SalesData[[#This Row],[Profit]],"$",""),",",""))/VALUE(SUBSTITUTE(SUBSTITUTE(SalesData[[#This Row],[Sales]],"$",""),",","")),0)</f>
        <v>0.22694815274759389</v>
      </c>
      <c r="Y68" s="6">
        <f>IFERROR(VALUE(SUBSTITUTE(SUBSTITUTE(SalesData[[#This Row],[Sales]],"$",""),",",""))/SalesData[[#This Row],[Quantity]],0)</f>
        <v>10.736666666666666</v>
      </c>
      <c r="Z68">
        <f>YEAR(SalesData[[#This Row],[Order Date]])</f>
        <v>2022</v>
      </c>
      <c r="AA68" t="str">
        <f>TEXT(SalesData[[#This Row],[Order Date]],"mmm")</f>
        <v>May</v>
      </c>
      <c r="AB6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69" spans="1:28">
      <c r="A69">
        <v>107</v>
      </c>
      <c r="B69" t="s">
        <v>523</v>
      </c>
      <c r="C69" s="1">
        <v>44704</v>
      </c>
      <c r="D69" s="1">
        <v>44710</v>
      </c>
      <c r="E69" t="s">
        <v>36</v>
      </c>
      <c r="F69" t="s">
        <v>524</v>
      </c>
      <c r="G69" t="s">
        <v>525</v>
      </c>
      <c r="H69" t="s">
        <v>60</v>
      </c>
      <c r="I69" t="s">
        <v>26</v>
      </c>
      <c r="J69" t="s">
        <v>229</v>
      </c>
      <c r="K69" t="s">
        <v>229</v>
      </c>
      <c r="L69">
        <v>88222</v>
      </c>
      <c r="M69" t="s">
        <v>73</v>
      </c>
      <c r="N69" t="s">
        <v>143</v>
      </c>
      <c r="O69" t="s">
        <v>43</v>
      </c>
      <c r="P69" t="s">
        <v>83</v>
      </c>
      <c r="Q69" t="s">
        <v>526</v>
      </c>
      <c r="R69" t="s">
        <v>527</v>
      </c>
      <c r="S69">
        <v>6</v>
      </c>
      <c r="T69" s="2">
        <v>0.3</v>
      </c>
      <c r="U69" t="s">
        <v>528</v>
      </c>
      <c r="V69" t="str">
        <f>CHOOSE(MOD(SalesData[[#This Row],[Row ID]]-1,8)+1,"Aarav Sharma","Ananya Singh","Rohan Verma","Priya Gupta","Arjun Mehta","Neha Kapoor","Rahul Joshi","Sneha Patel")</f>
        <v>Rohan Verma</v>
      </c>
      <c r="W6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69" s="8">
        <f>IFERROR(VALUE(SUBSTITUTE(SUBSTITUTE(SalesData[[#This Row],[Profit]],"$",""),",",""))/VALUE(SUBSTITUTE(SUBSTITUTE(SalesData[[#This Row],[Sales]],"$",""),",","")),0)</f>
        <v>6.8757316246688432E-2</v>
      </c>
      <c r="Y69" s="6">
        <f>IFERROR(VALUE(SUBSTITUTE(SUBSTITUTE(SalesData[[#This Row],[Sales]],"$",""),",",""))/SalesData[[#This Row],[Quantity]],0)</f>
        <v>27.051666666666666</v>
      </c>
      <c r="Z69">
        <f>YEAR(SalesData[[#This Row],[Order Date]])</f>
        <v>2022</v>
      </c>
      <c r="AA69" t="str">
        <f>TEXT(SalesData[[#This Row],[Order Date]],"mmm")</f>
        <v>May</v>
      </c>
      <c r="AB6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70" spans="1:28">
      <c r="A70">
        <v>443</v>
      </c>
      <c r="B70" t="s">
        <v>529</v>
      </c>
      <c r="C70" s="1">
        <v>44705</v>
      </c>
      <c r="D70" s="1">
        <v>44707</v>
      </c>
      <c r="E70" t="s">
        <v>36</v>
      </c>
      <c r="F70" t="s">
        <v>530</v>
      </c>
      <c r="G70" t="s">
        <v>370</v>
      </c>
      <c r="H70" t="s">
        <v>39</v>
      </c>
      <c r="I70" t="s">
        <v>26</v>
      </c>
      <c r="J70" t="s">
        <v>229</v>
      </c>
      <c r="K70" t="s">
        <v>229</v>
      </c>
      <c r="L70">
        <v>69072</v>
      </c>
      <c r="M70" t="s">
        <v>73</v>
      </c>
      <c r="N70" t="s">
        <v>531</v>
      </c>
      <c r="O70" t="s">
        <v>43</v>
      </c>
      <c r="P70" t="s">
        <v>44</v>
      </c>
      <c r="Q70" t="s">
        <v>54</v>
      </c>
      <c r="R70" t="s">
        <v>532</v>
      </c>
      <c r="S70">
        <v>6</v>
      </c>
      <c r="T70" s="2">
        <v>0.3</v>
      </c>
      <c r="U70" t="s">
        <v>533</v>
      </c>
      <c r="V70" t="str">
        <f>CHOOSE(MOD(SalesData[[#This Row],[Row ID]]-1,8)+1,"Aarav Sharma","Ananya Singh","Rohan Verma","Priya Gupta","Arjun Mehta","Neha Kapoor","Rahul Joshi","Sneha Patel")</f>
        <v>Rohan Verma</v>
      </c>
      <c r="W7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70" s="8">
        <f>IFERROR(VALUE(SUBSTITUTE(SUBSTITUTE(SalesData[[#This Row],[Profit]],"$",""),",",""))/VALUE(SUBSTITUTE(SUBSTITUTE(SalesData[[#This Row],[Sales]],"$",""),",","")),0)</f>
        <v>7.0393759286775631E-2</v>
      </c>
      <c r="Y70" s="6">
        <f>IFERROR(VALUE(SUBSTITUTE(SUBSTITUTE(SalesData[[#This Row],[Sales]],"$",""),",",""))/SalesData[[#This Row],[Quantity]],0)</f>
        <v>8.9733333333333345</v>
      </c>
      <c r="Z70">
        <f>YEAR(SalesData[[#This Row],[Order Date]])</f>
        <v>2022</v>
      </c>
      <c r="AA70" t="str">
        <f>TEXT(SalesData[[#This Row],[Order Date]],"mmm")</f>
        <v>May</v>
      </c>
      <c r="AB7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71" spans="1:28">
      <c r="A71">
        <v>442</v>
      </c>
      <c r="B71" t="s">
        <v>534</v>
      </c>
      <c r="C71" s="1">
        <v>44706</v>
      </c>
      <c r="D71" s="1">
        <v>44710</v>
      </c>
      <c r="E71" t="s">
        <v>49</v>
      </c>
      <c r="F71" t="s">
        <v>535</v>
      </c>
      <c r="G71" t="s">
        <v>80</v>
      </c>
      <c r="H71" t="s">
        <v>25</v>
      </c>
      <c r="I71" t="s">
        <v>26</v>
      </c>
      <c r="J71" t="s">
        <v>52</v>
      </c>
      <c r="K71" t="s">
        <v>52</v>
      </c>
      <c r="L71">
        <v>88894</v>
      </c>
      <c r="M71" t="s">
        <v>41</v>
      </c>
      <c r="N71" t="s">
        <v>536</v>
      </c>
      <c r="O71" t="s">
        <v>30</v>
      </c>
      <c r="P71" t="s">
        <v>222</v>
      </c>
      <c r="Q71" t="s">
        <v>223</v>
      </c>
      <c r="R71" t="s">
        <v>537</v>
      </c>
      <c r="S71">
        <v>3</v>
      </c>
      <c r="T71" s="2">
        <v>0.3</v>
      </c>
      <c r="U71" t="s">
        <v>538</v>
      </c>
      <c r="V71" t="str">
        <f>CHOOSE(MOD(SalesData[[#This Row],[Row ID]]-1,8)+1,"Aarav Sharma","Ananya Singh","Rohan Verma","Priya Gupta","Arjun Mehta","Neha Kapoor","Rahul Joshi","Sneha Patel")</f>
        <v>Ananya Singh</v>
      </c>
      <c r="W7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71" s="8">
        <f>IFERROR(VALUE(SUBSTITUTE(SUBSTITUTE(SalesData[[#This Row],[Profit]],"$",""),",",""))/VALUE(SUBSTITUTE(SUBSTITUTE(SalesData[[#This Row],[Sales]],"$",""),",","")),0)</f>
        <v>-7.1183817840168015E-2</v>
      </c>
      <c r="Y71" s="6">
        <f>IFERROR(VALUE(SUBSTITUTE(SUBSTITUTE(SalesData[[#This Row],[Sales]],"$",""),",",""))/SalesData[[#This Row],[Quantity]],0)</f>
        <v>30.156666666666666</v>
      </c>
      <c r="Z71">
        <f>YEAR(SalesData[[#This Row],[Order Date]])</f>
        <v>2022</v>
      </c>
      <c r="AA71" t="str">
        <f>TEXT(SalesData[[#This Row],[Order Date]],"mmm")</f>
        <v>May</v>
      </c>
      <c r="AB7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72" spans="1:28">
      <c r="A72">
        <v>243</v>
      </c>
      <c r="B72" t="s">
        <v>539</v>
      </c>
      <c r="C72" s="1">
        <v>44710</v>
      </c>
      <c r="D72" s="1">
        <v>44713</v>
      </c>
      <c r="E72" t="s">
        <v>36</v>
      </c>
      <c r="F72" t="s">
        <v>540</v>
      </c>
      <c r="G72" t="s">
        <v>541</v>
      </c>
      <c r="H72" t="s">
        <v>39</v>
      </c>
      <c r="I72" t="s">
        <v>26</v>
      </c>
      <c r="J72" t="s">
        <v>150</v>
      </c>
      <c r="K72" t="s">
        <v>150</v>
      </c>
      <c r="L72">
        <v>66683</v>
      </c>
      <c r="M72" t="s">
        <v>73</v>
      </c>
      <c r="N72" t="s">
        <v>542</v>
      </c>
      <c r="O72" t="s">
        <v>64</v>
      </c>
      <c r="P72" t="s">
        <v>65</v>
      </c>
      <c r="Q72" t="s">
        <v>543</v>
      </c>
      <c r="R72" t="s">
        <v>544</v>
      </c>
      <c r="S72">
        <v>2</v>
      </c>
      <c r="T72" s="2">
        <v>0</v>
      </c>
      <c r="U72" t="s">
        <v>545</v>
      </c>
      <c r="V72" t="str">
        <f>CHOOSE(MOD(SalesData[[#This Row],[Row ID]]-1,8)+1,"Aarav Sharma","Ananya Singh","Rohan Verma","Priya Gupta","Arjun Mehta","Neha Kapoor","Rahul Joshi","Sneha Patel")</f>
        <v>Rohan Verma</v>
      </c>
      <c r="W7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72" s="8">
        <f>IFERROR(VALUE(SUBSTITUTE(SUBSTITUTE(SalesData[[#This Row],[Profit]],"$",""),",",""))/VALUE(SUBSTITUTE(SUBSTITUTE(SalesData[[#This Row],[Sales]],"$",""),",","")),0)</f>
        <v>0.3299205648720212</v>
      </c>
      <c r="Y72" s="6">
        <f>IFERROR(VALUE(SUBSTITUTE(SUBSTITUTE(SalesData[[#This Row],[Sales]],"$",""),",",""))/SalesData[[#This Row],[Quantity]],0)</f>
        <v>84.974999999999994</v>
      </c>
      <c r="Z72">
        <f>YEAR(SalesData[[#This Row],[Order Date]])</f>
        <v>2022</v>
      </c>
      <c r="AA72" t="str">
        <f>TEXT(SalesData[[#This Row],[Order Date]],"mmm")</f>
        <v>May</v>
      </c>
      <c r="AB7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73" spans="1:28">
      <c r="A73">
        <v>425</v>
      </c>
      <c r="B73" t="s">
        <v>546</v>
      </c>
      <c r="C73" s="1">
        <v>44710</v>
      </c>
      <c r="D73" s="1">
        <v>44716</v>
      </c>
      <c r="E73" t="s">
        <v>22</v>
      </c>
      <c r="F73" t="s">
        <v>547</v>
      </c>
      <c r="G73" t="s">
        <v>485</v>
      </c>
      <c r="H73" t="s">
        <v>25</v>
      </c>
      <c r="I73" t="s">
        <v>26</v>
      </c>
      <c r="J73" t="s">
        <v>157</v>
      </c>
      <c r="K73" t="s">
        <v>157</v>
      </c>
      <c r="L73">
        <v>16256</v>
      </c>
      <c r="M73" t="s">
        <v>62</v>
      </c>
      <c r="N73" t="s">
        <v>548</v>
      </c>
      <c r="O73" t="s">
        <v>64</v>
      </c>
      <c r="P73" t="s">
        <v>105</v>
      </c>
      <c r="Q73" t="s">
        <v>549</v>
      </c>
      <c r="R73" t="s">
        <v>550</v>
      </c>
      <c r="S73">
        <v>1</v>
      </c>
      <c r="T73" s="2">
        <v>0.4</v>
      </c>
      <c r="U73" t="s">
        <v>551</v>
      </c>
      <c r="V73" t="str">
        <f>CHOOSE(MOD(SalesData[[#This Row],[Row ID]]-1,8)+1,"Aarav Sharma","Ananya Singh","Rohan Verma","Priya Gupta","Arjun Mehta","Neha Kapoor","Rahul Joshi","Sneha Patel")</f>
        <v>Aarav Sharma</v>
      </c>
      <c r="W7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73" s="8">
        <f>IFERROR(VALUE(SUBSTITUTE(SUBSTITUTE(SalesData[[#This Row],[Profit]],"$",""),",",""))/VALUE(SUBSTITUTE(SUBSTITUTE(SalesData[[#This Row],[Sales]],"$",""),",","")),0)</f>
        <v>-1.4761209224095958E-2</v>
      </c>
      <c r="Y73" s="6">
        <f>IFERROR(VALUE(SUBSTITUTE(SUBSTITUTE(SalesData[[#This Row],[Sales]],"$",""),",",""))/SalesData[[#This Row],[Quantity]],0)</f>
        <v>451.86</v>
      </c>
      <c r="Z73">
        <f>YEAR(SalesData[[#This Row],[Order Date]])</f>
        <v>2022</v>
      </c>
      <c r="AA73" t="str">
        <f>TEXT(SalesData[[#This Row],[Order Date]],"mmm")</f>
        <v>May</v>
      </c>
      <c r="AB7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74" spans="1:28">
      <c r="A74">
        <v>254</v>
      </c>
      <c r="B74" t="s">
        <v>552</v>
      </c>
      <c r="C74" s="1">
        <v>44711</v>
      </c>
      <c r="D74" s="1">
        <v>44715</v>
      </c>
      <c r="E74" t="s">
        <v>49</v>
      </c>
      <c r="F74" t="s">
        <v>553</v>
      </c>
      <c r="G74" t="s">
        <v>554</v>
      </c>
      <c r="H74" t="s">
        <v>25</v>
      </c>
      <c r="I74" t="s">
        <v>26</v>
      </c>
      <c r="J74" t="s">
        <v>52</v>
      </c>
      <c r="K74" t="s">
        <v>52</v>
      </c>
      <c r="L74">
        <v>45699</v>
      </c>
      <c r="M74" t="s">
        <v>41</v>
      </c>
      <c r="N74" t="s">
        <v>555</v>
      </c>
      <c r="O74" t="s">
        <v>43</v>
      </c>
      <c r="P74" t="s">
        <v>128</v>
      </c>
      <c r="Q74" t="s">
        <v>556</v>
      </c>
      <c r="R74" t="s">
        <v>557</v>
      </c>
      <c r="S74">
        <v>3</v>
      </c>
      <c r="T74" s="2">
        <v>0.4</v>
      </c>
      <c r="U74" t="s">
        <v>558</v>
      </c>
      <c r="V74" t="str">
        <f>CHOOSE(MOD(SalesData[[#This Row],[Row ID]]-1,8)+1,"Aarav Sharma","Ananya Singh","Rohan Verma","Priya Gupta","Arjun Mehta","Neha Kapoor","Rahul Joshi","Sneha Patel")</f>
        <v>Neha Kapoor</v>
      </c>
      <c r="W7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74" s="8">
        <f>IFERROR(VALUE(SUBSTITUTE(SUBSTITUTE(SalesData[[#This Row],[Profit]],"$",""),",",""))/VALUE(SUBSTITUTE(SUBSTITUTE(SalesData[[#This Row],[Sales]],"$",""),",","")),0)</f>
        <v>-7.5068493150684937E-2</v>
      </c>
      <c r="Y74" s="6">
        <f>IFERROR(VALUE(SUBSTITUTE(SUBSTITUTE(SalesData[[#This Row],[Sales]],"$",""),",",""))/SalesData[[#This Row],[Quantity]],0)</f>
        <v>12.166666666666666</v>
      </c>
      <c r="Z74">
        <f>YEAR(SalesData[[#This Row],[Order Date]])</f>
        <v>2022</v>
      </c>
      <c r="AA74" t="str">
        <f>TEXT(SalesData[[#This Row],[Order Date]],"mmm")</f>
        <v>May</v>
      </c>
      <c r="AB7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75" spans="1:28">
      <c r="A75">
        <v>576</v>
      </c>
      <c r="B75" t="s">
        <v>559</v>
      </c>
      <c r="C75" s="1">
        <v>44711</v>
      </c>
      <c r="D75" s="1">
        <v>44712</v>
      </c>
      <c r="E75" t="s">
        <v>36</v>
      </c>
      <c r="F75" t="s">
        <v>560</v>
      </c>
      <c r="G75" t="s">
        <v>561</v>
      </c>
      <c r="H75" t="s">
        <v>25</v>
      </c>
      <c r="I75" t="s">
        <v>26</v>
      </c>
      <c r="J75" t="s">
        <v>173</v>
      </c>
      <c r="K75" t="s">
        <v>173</v>
      </c>
      <c r="L75">
        <v>93529</v>
      </c>
      <c r="M75" t="s">
        <v>73</v>
      </c>
      <c r="N75" t="s">
        <v>562</v>
      </c>
      <c r="O75" t="s">
        <v>43</v>
      </c>
      <c r="P75" t="s">
        <v>214</v>
      </c>
      <c r="Q75" t="s">
        <v>563</v>
      </c>
      <c r="R75" t="s">
        <v>564</v>
      </c>
      <c r="S75">
        <v>4</v>
      </c>
      <c r="T75" s="2">
        <v>0.2</v>
      </c>
      <c r="U75" t="s">
        <v>565</v>
      </c>
      <c r="V75" t="str">
        <f>CHOOSE(MOD(SalesData[[#This Row],[Row ID]]-1,8)+1,"Aarav Sharma","Ananya Singh","Rohan Verma","Priya Gupta","Arjun Mehta","Neha Kapoor","Rahul Joshi","Sneha Patel")</f>
        <v>Sneha Patel</v>
      </c>
      <c r="W7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75" s="8">
        <f>IFERROR(VALUE(SUBSTITUTE(SUBSTITUTE(SalesData[[#This Row],[Profit]],"$",""),",",""))/VALUE(SUBSTITUTE(SUBSTITUTE(SalesData[[#This Row],[Sales]],"$",""),",","")),0)</f>
        <v>4.997094712376525E-2</v>
      </c>
      <c r="Y75" s="6">
        <f>IFERROR(VALUE(SUBSTITUTE(SUBSTITUTE(SalesData[[#This Row],[Sales]],"$",""),",",""))/SalesData[[#This Row],[Quantity]],0)</f>
        <v>12.907500000000001</v>
      </c>
      <c r="Z75">
        <f>YEAR(SalesData[[#This Row],[Order Date]])</f>
        <v>2022</v>
      </c>
      <c r="AA75" t="str">
        <f>TEXT(SalesData[[#This Row],[Order Date]],"mmm")</f>
        <v>May</v>
      </c>
      <c r="AB7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76" spans="1:28">
      <c r="A76">
        <v>583</v>
      </c>
      <c r="B76" t="s">
        <v>566</v>
      </c>
      <c r="C76" s="1">
        <v>44712</v>
      </c>
      <c r="D76" s="1">
        <v>44713</v>
      </c>
      <c r="E76" t="s">
        <v>49</v>
      </c>
      <c r="F76" t="s">
        <v>567</v>
      </c>
      <c r="G76" t="s">
        <v>568</v>
      </c>
      <c r="H76" t="s">
        <v>39</v>
      </c>
      <c r="I76" t="s">
        <v>26</v>
      </c>
      <c r="J76" t="s">
        <v>72</v>
      </c>
      <c r="K76" t="s">
        <v>72</v>
      </c>
      <c r="L76">
        <v>38180</v>
      </c>
      <c r="M76" t="s">
        <v>73</v>
      </c>
      <c r="N76" t="s">
        <v>569</v>
      </c>
      <c r="O76" t="s">
        <v>30</v>
      </c>
      <c r="P76" t="s">
        <v>222</v>
      </c>
      <c r="Q76" t="s">
        <v>570</v>
      </c>
      <c r="R76" t="s">
        <v>571</v>
      </c>
      <c r="S76">
        <v>2</v>
      </c>
      <c r="T76" s="2">
        <v>0.2</v>
      </c>
      <c r="U76" t="s">
        <v>572</v>
      </c>
      <c r="V76" t="str">
        <f>CHOOSE(MOD(SalesData[[#This Row],[Row ID]]-1,8)+1,"Aarav Sharma","Ananya Singh","Rohan Verma","Priya Gupta","Arjun Mehta","Neha Kapoor","Rahul Joshi","Sneha Patel")</f>
        <v>Rahul Joshi</v>
      </c>
      <c r="W7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76" s="8">
        <f>IFERROR(VALUE(SUBSTITUTE(SUBSTITUTE(SalesData[[#This Row],[Profit]],"$",""),",",""))/VALUE(SUBSTITUTE(SUBSTITUTE(SalesData[[#This Row],[Sales]],"$",""),",","")),0)</f>
        <v>8.0417403431873091E-2</v>
      </c>
      <c r="Y76" s="6">
        <f>IFERROR(VALUE(SUBSTITUTE(SUBSTITUTE(SalesData[[#This Row],[Sales]],"$",""),",",""))/SalesData[[#This Row],[Quantity]],0)</f>
        <v>200.76499999999999</v>
      </c>
      <c r="Z76">
        <f>YEAR(SalesData[[#This Row],[Order Date]])</f>
        <v>2022</v>
      </c>
      <c r="AA76" t="str">
        <f>TEXT(SalesData[[#This Row],[Order Date]],"mmm")</f>
        <v>May</v>
      </c>
      <c r="AB7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77" spans="1:28">
      <c r="A77">
        <v>317</v>
      </c>
      <c r="B77" t="s">
        <v>573</v>
      </c>
      <c r="C77" s="1">
        <v>44713</v>
      </c>
      <c r="D77" s="1">
        <v>44715</v>
      </c>
      <c r="E77" t="s">
        <v>49</v>
      </c>
      <c r="F77" t="s">
        <v>574</v>
      </c>
      <c r="G77" t="s">
        <v>561</v>
      </c>
      <c r="H77" t="s">
        <v>25</v>
      </c>
      <c r="I77" t="s">
        <v>26</v>
      </c>
      <c r="J77" t="s">
        <v>173</v>
      </c>
      <c r="K77" t="s">
        <v>173</v>
      </c>
      <c r="L77">
        <v>80190</v>
      </c>
      <c r="M77" t="s">
        <v>73</v>
      </c>
      <c r="N77" t="s">
        <v>575</v>
      </c>
      <c r="O77" t="s">
        <v>30</v>
      </c>
      <c r="P77" t="s">
        <v>120</v>
      </c>
      <c r="Q77" t="s">
        <v>576</v>
      </c>
      <c r="R77" t="s">
        <v>577</v>
      </c>
      <c r="S77">
        <v>2</v>
      </c>
      <c r="T77" s="2">
        <v>0.15</v>
      </c>
      <c r="U77" t="s">
        <v>578</v>
      </c>
      <c r="V77" t="str">
        <f>CHOOSE(MOD(SalesData[[#This Row],[Row ID]]-1,8)+1,"Aarav Sharma","Ananya Singh","Rohan Verma","Priya Gupta","Arjun Mehta","Neha Kapoor","Rahul Joshi","Sneha Patel")</f>
        <v>Arjun Mehta</v>
      </c>
      <c r="W7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77" s="8">
        <f>IFERROR(VALUE(SUBSTITUTE(SUBSTITUTE(SalesData[[#This Row],[Profit]],"$",""),",",""))/VALUE(SUBSTITUTE(SUBSTITUTE(SalesData[[#This Row],[Sales]],"$",""),",","")),0)</f>
        <v>4.3120290259559026E-2</v>
      </c>
      <c r="Y77" s="6">
        <f>IFERROR(VALUE(SUBSTITUTE(SUBSTITUTE(SalesData[[#This Row],[Sales]],"$",""),",",""))/SalesData[[#This Row],[Quantity]],0)</f>
        <v>179.15</v>
      </c>
      <c r="Z77">
        <f>YEAR(SalesData[[#This Row],[Order Date]])</f>
        <v>2022</v>
      </c>
      <c r="AA77" t="str">
        <f>TEXT(SalesData[[#This Row],[Order Date]],"mmm")</f>
        <v>Jun</v>
      </c>
      <c r="AB7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78" spans="1:28">
      <c r="A78">
        <v>112</v>
      </c>
      <c r="B78" t="s">
        <v>579</v>
      </c>
      <c r="C78" s="1">
        <v>44716</v>
      </c>
      <c r="D78" s="1">
        <v>44719</v>
      </c>
      <c r="E78" t="s">
        <v>36</v>
      </c>
      <c r="F78" t="s">
        <v>580</v>
      </c>
      <c r="G78" t="s">
        <v>561</v>
      </c>
      <c r="H78" t="s">
        <v>39</v>
      </c>
      <c r="I78" t="s">
        <v>26</v>
      </c>
      <c r="J78" t="s">
        <v>81</v>
      </c>
      <c r="K78" t="s">
        <v>81</v>
      </c>
      <c r="L78">
        <v>15542</v>
      </c>
      <c r="M78" t="s">
        <v>62</v>
      </c>
      <c r="N78" t="s">
        <v>581</v>
      </c>
      <c r="O78" t="s">
        <v>30</v>
      </c>
      <c r="P78" t="s">
        <v>31</v>
      </c>
      <c r="Q78" t="s">
        <v>582</v>
      </c>
      <c r="R78" t="s">
        <v>583</v>
      </c>
      <c r="S78">
        <v>5</v>
      </c>
      <c r="T78" s="2">
        <v>0.3</v>
      </c>
      <c r="U78" t="s">
        <v>584</v>
      </c>
      <c r="V78" t="str">
        <f>CHOOSE(MOD(SalesData[[#This Row],[Row ID]]-1,8)+1,"Aarav Sharma","Ananya Singh","Rohan Verma","Priya Gupta","Arjun Mehta","Neha Kapoor","Rahul Joshi","Sneha Patel")</f>
        <v>Sneha Patel</v>
      </c>
      <c r="W7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78" s="8">
        <f>IFERROR(VALUE(SUBSTITUTE(SUBSTITUTE(SalesData[[#This Row],[Profit]],"$",""),",",""))/VALUE(SUBSTITUTE(SUBSTITUTE(SalesData[[#This Row],[Sales]],"$",""),",","")),0)</f>
        <v>-9.7121164188547923E-2</v>
      </c>
      <c r="Y78" s="6">
        <f>IFERROR(VALUE(SUBSTITUTE(SUBSTITUTE(SalesData[[#This Row],[Sales]],"$",""),",",""))/SalesData[[#This Row],[Quantity]],0)</f>
        <v>25.288</v>
      </c>
      <c r="Z78">
        <f>YEAR(SalesData[[#This Row],[Order Date]])</f>
        <v>2022</v>
      </c>
      <c r="AA78" t="str">
        <f>TEXT(SalesData[[#This Row],[Order Date]],"mmm")</f>
        <v>Jun</v>
      </c>
      <c r="AB7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79" spans="1:28">
      <c r="A79">
        <v>373</v>
      </c>
      <c r="B79" t="s">
        <v>585</v>
      </c>
      <c r="C79" s="1">
        <v>44718</v>
      </c>
      <c r="D79" s="1">
        <v>44722</v>
      </c>
      <c r="E79" t="s">
        <v>22</v>
      </c>
      <c r="F79" t="s">
        <v>586</v>
      </c>
      <c r="G79" t="s">
        <v>587</v>
      </c>
      <c r="H79" t="s">
        <v>25</v>
      </c>
      <c r="I79" t="s">
        <v>26</v>
      </c>
      <c r="J79" t="s">
        <v>96</v>
      </c>
      <c r="K79" t="s">
        <v>96</v>
      </c>
      <c r="L79">
        <v>74824</v>
      </c>
      <c r="M79" t="s">
        <v>28</v>
      </c>
      <c r="N79" t="s">
        <v>588</v>
      </c>
      <c r="O79" t="s">
        <v>43</v>
      </c>
      <c r="P79" t="s">
        <v>214</v>
      </c>
      <c r="Q79" t="s">
        <v>589</v>
      </c>
      <c r="R79" t="s">
        <v>590</v>
      </c>
      <c r="S79">
        <v>3</v>
      </c>
      <c r="T79" s="2">
        <v>0.3</v>
      </c>
      <c r="U79" t="s">
        <v>591</v>
      </c>
      <c r="V79" t="str">
        <f>CHOOSE(MOD(SalesData[[#This Row],[Row ID]]-1,8)+1,"Aarav Sharma","Ananya Singh","Rohan Verma","Priya Gupta","Arjun Mehta","Neha Kapoor","Rahul Joshi","Sneha Patel")</f>
        <v>Arjun Mehta</v>
      </c>
      <c r="W7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79" s="8">
        <f>IFERROR(VALUE(SUBSTITUTE(SUBSTITUTE(SalesData[[#This Row],[Profit]],"$",""),",",""))/VALUE(SUBSTITUTE(SUBSTITUTE(SalesData[[#This Row],[Sales]],"$",""),",","")),0)</f>
        <v>2.6860498700298448E-2</v>
      </c>
      <c r="Y79" s="6">
        <f>IFERROR(VALUE(SUBSTITUTE(SUBSTITUTE(SalesData[[#This Row],[Sales]],"$",""),",",""))/SalesData[[#This Row],[Quantity]],0)</f>
        <v>34.623333333333335</v>
      </c>
      <c r="Z79">
        <f>YEAR(SalesData[[#This Row],[Order Date]])</f>
        <v>2022</v>
      </c>
      <c r="AA79" t="str">
        <f>TEXT(SalesData[[#This Row],[Order Date]],"mmm")</f>
        <v>Jun</v>
      </c>
      <c r="AB7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80" spans="1:28">
      <c r="A80">
        <v>563</v>
      </c>
      <c r="B80" t="s">
        <v>592</v>
      </c>
      <c r="C80" s="1">
        <v>44719</v>
      </c>
      <c r="D80" s="1">
        <v>44722</v>
      </c>
      <c r="E80" t="s">
        <v>49</v>
      </c>
      <c r="F80" t="s">
        <v>593</v>
      </c>
      <c r="G80" t="s">
        <v>594</v>
      </c>
      <c r="H80" t="s">
        <v>39</v>
      </c>
      <c r="I80" t="s">
        <v>26</v>
      </c>
      <c r="J80" t="s">
        <v>150</v>
      </c>
      <c r="K80" t="s">
        <v>150</v>
      </c>
      <c r="L80">
        <v>24859</v>
      </c>
      <c r="M80" t="s">
        <v>73</v>
      </c>
      <c r="N80" t="s">
        <v>595</v>
      </c>
      <c r="O80" t="s">
        <v>30</v>
      </c>
      <c r="P80" t="s">
        <v>222</v>
      </c>
      <c r="Q80" t="s">
        <v>596</v>
      </c>
      <c r="R80" t="s">
        <v>597</v>
      </c>
      <c r="S80">
        <v>7</v>
      </c>
      <c r="T80" s="2">
        <v>0.1</v>
      </c>
      <c r="U80" t="s">
        <v>598</v>
      </c>
      <c r="V80" t="str">
        <f>CHOOSE(MOD(SalesData[[#This Row],[Row ID]]-1,8)+1,"Aarav Sharma","Ananya Singh","Rohan Verma","Priya Gupta","Arjun Mehta","Neha Kapoor","Rahul Joshi","Sneha Patel")</f>
        <v>Rohan Verma</v>
      </c>
      <c r="W8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80" s="8">
        <f>IFERROR(VALUE(SUBSTITUTE(SUBSTITUTE(SalesData[[#This Row],[Profit]],"$",""),",",""))/VALUE(SUBSTITUTE(SUBSTITUTE(SalesData[[#This Row],[Sales]],"$",""),",","")),0)</f>
        <v>3.428229925024448E-2</v>
      </c>
      <c r="Y80" s="6">
        <f>IFERROR(VALUE(SUBSTITUTE(SUBSTITUTE(SalesData[[#This Row],[Sales]],"$",""),",",""))/SalesData[[#This Row],[Quantity]],0)</f>
        <v>26.294285714285714</v>
      </c>
      <c r="Z80">
        <f>YEAR(SalesData[[#This Row],[Order Date]])</f>
        <v>2022</v>
      </c>
      <c r="AA80" t="str">
        <f>TEXT(SalesData[[#This Row],[Order Date]],"mmm")</f>
        <v>Jun</v>
      </c>
      <c r="AB8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81" spans="1:28">
      <c r="A81">
        <v>125</v>
      </c>
      <c r="B81" t="s">
        <v>599</v>
      </c>
      <c r="C81" s="1">
        <v>44720</v>
      </c>
      <c r="D81" s="1">
        <v>44721</v>
      </c>
      <c r="E81" t="s">
        <v>49</v>
      </c>
      <c r="F81" t="s">
        <v>600</v>
      </c>
      <c r="G81" t="s">
        <v>601</v>
      </c>
      <c r="H81" t="s">
        <v>25</v>
      </c>
      <c r="I81" t="s">
        <v>26</v>
      </c>
      <c r="J81" t="s">
        <v>40</v>
      </c>
      <c r="K81" t="s">
        <v>40</v>
      </c>
      <c r="L81">
        <v>86256</v>
      </c>
      <c r="M81" t="s">
        <v>41</v>
      </c>
      <c r="N81" t="s">
        <v>602</v>
      </c>
      <c r="O81" t="s">
        <v>43</v>
      </c>
      <c r="P81" t="s">
        <v>189</v>
      </c>
      <c r="Q81" t="s">
        <v>603</v>
      </c>
      <c r="R81" t="s">
        <v>604</v>
      </c>
      <c r="S81">
        <v>3</v>
      </c>
      <c r="T81" s="2">
        <v>0.15</v>
      </c>
      <c r="U81" t="s">
        <v>605</v>
      </c>
      <c r="V81" t="str">
        <f>CHOOSE(MOD(SalesData[[#This Row],[Row ID]]-1,8)+1,"Aarav Sharma","Ananya Singh","Rohan Verma","Priya Gupta","Arjun Mehta","Neha Kapoor","Rahul Joshi","Sneha Patel")</f>
        <v>Arjun Mehta</v>
      </c>
      <c r="W8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81" s="8">
        <f>IFERROR(VALUE(SUBSTITUTE(SUBSTITUTE(SalesData[[#This Row],[Profit]],"$",""),",",""))/VALUE(SUBSTITUTE(SUBSTITUTE(SalesData[[#This Row],[Sales]],"$",""),",","")),0)</f>
        <v>0.13553686681009192</v>
      </c>
      <c r="Y81" s="6">
        <f>IFERROR(VALUE(SUBSTITUTE(SUBSTITUTE(SalesData[[#This Row],[Sales]],"$",""),",",""))/SalesData[[#This Row],[Quantity]],0)</f>
        <v>34.086666666666666</v>
      </c>
      <c r="Z81">
        <f>YEAR(SalesData[[#This Row],[Order Date]])</f>
        <v>2022</v>
      </c>
      <c r="AA81" t="str">
        <f>TEXT(SalesData[[#This Row],[Order Date]],"mmm")</f>
        <v>Jun</v>
      </c>
      <c r="AB8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82" spans="1:28">
      <c r="A82">
        <v>87</v>
      </c>
      <c r="B82" t="s">
        <v>606</v>
      </c>
      <c r="C82" s="1">
        <v>44720</v>
      </c>
      <c r="D82" s="1">
        <v>44723</v>
      </c>
      <c r="E82" t="s">
        <v>49</v>
      </c>
      <c r="F82" t="s">
        <v>607</v>
      </c>
      <c r="G82" t="s">
        <v>220</v>
      </c>
      <c r="H82" t="s">
        <v>39</v>
      </c>
      <c r="I82" t="s">
        <v>26</v>
      </c>
      <c r="J82" t="s">
        <v>27</v>
      </c>
      <c r="K82" t="s">
        <v>27</v>
      </c>
      <c r="L82">
        <v>58364</v>
      </c>
      <c r="M82" t="s">
        <v>28</v>
      </c>
      <c r="N82" t="s">
        <v>608</v>
      </c>
      <c r="O82" t="s">
        <v>43</v>
      </c>
      <c r="P82" t="s">
        <v>83</v>
      </c>
      <c r="Q82" t="s">
        <v>609</v>
      </c>
      <c r="R82" t="s">
        <v>610</v>
      </c>
      <c r="S82">
        <v>4</v>
      </c>
      <c r="T82" s="2">
        <v>0.3</v>
      </c>
      <c r="U82" t="s">
        <v>611</v>
      </c>
      <c r="V82" t="str">
        <f>CHOOSE(MOD(SalesData[[#This Row],[Row ID]]-1,8)+1,"Aarav Sharma","Ananya Singh","Rohan Verma","Priya Gupta","Arjun Mehta","Neha Kapoor","Rahul Joshi","Sneha Patel")</f>
        <v>Rahul Joshi</v>
      </c>
      <c r="W8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82" s="8">
        <f>IFERROR(VALUE(SUBSTITUTE(SUBSTITUTE(SalesData[[#This Row],[Profit]],"$",""),",",""))/VALUE(SUBSTITUTE(SUBSTITUTE(SalesData[[#This Row],[Sales]],"$",""),",","")),0)</f>
        <v>8.0281690140845074E-2</v>
      </c>
      <c r="Y82" s="6">
        <f>IFERROR(VALUE(SUBSTITUTE(SUBSTITUTE(SalesData[[#This Row],[Sales]],"$",""),",",""))/SalesData[[#This Row],[Quantity]],0)</f>
        <v>3.55</v>
      </c>
      <c r="Z82">
        <f>YEAR(SalesData[[#This Row],[Order Date]])</f>
        <v>2022</v>
      </c>
      <c r="AA82" t="str">
        <f>TEXT(SalesData[[#This Row],[Order Date]],"mmm")</f>
        <v>Jun</v>
      </c>
      <c r="AB8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83" spans="1:28">
      <c r="A83">
        <v>417</v>
      </c>
      <c r="B83" t="s">
        <v>612</v>
      </c>
      <c r="C83" s="1">
        <v>44722</v>
      </c>
      <c r="D83" s="1">
        <v>44723</v>
      </c>
      <c r="E83" t="s">
        <v>36</v>
      </c>
      <c r="F83" t="s">
        <v>613</v>
      </c>
      <c r="G83" t="s">
        <v>614</v>
      </c>
      <c r="H83" t="s">
        <v>60</v>
      </c>
      <c r="I83" t="s">
        <v>26</v>
      </c>
      <c r="J83" t="s">
        <v>61</v>
      </c>
      <c r="K83" t="s">
        <v>61</v>
      </c>
      <c r="L83">
        <v>53052</v>
      </c>
      <c r="M83" t="s">
        <v>62</v>
      </c>
      <c r="N83" t="s">
        <v>465</v>
      </c>
      <c r="O83" t="s">
        <v>43</v>
      </c>
      <c r="P83" t="s">
        <v>128</v>
      </c>
      <c r="Q83" t="s">
        <v>615</v>
      </c>
      <c r="R83" t="s">
        <v>616</v>
      </c>
      <c r="S83">
        <v>3</v>
      </c>
      <c r="T83" s="2">
        <v>0</v>
      </c>
      <c r="U83" t="s">
        <v>617</v>
      </c>
      <c r="V83" t="str">
        <f>CHOOSE(MOD(SalesData[[#This Row],[Row ID]]-1,8)+1,"Aarav Sharma","Ananya Singh","Rohan Verma","Priya Gupta","Arjun Mehta","Neha Kapoor","Rahul Joshi","Sneha Patel")</f>
        <v>Aarav Sharma</v>
      </c>
      <c r="W8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83" s="8">
        <f>IFERROR(VALUE(SUBSTITUTE(SUBSTITUTE(SalesData[[#This Row],[Profit]],"$",""),",",""))/VALUE(SUBSTITUTE(SUBSTITUTE(SalesData[[#This Row],[Sales]],"$",""),",","")),0)</f>
        <v>0.17774566473988437</v>
      </c>
      <c r="Y83" s="6">
        <f>IFERROR(VALUE(SUBSTITUTE(SUBSTITUTE(SalesData[[#This Row],[Sales]],"$",""),",",""))/SalesData[[#This Row],[Quantity]],0)</f>
        <v>6.9200000000000008</v>
      </c>
      <c r="Z83">
        <f>YEAR(SalesData[[#This Row],[Order Date]])</f>
        <v>2022</v>
      </c>
      <c r="AA83" t="str">
        <f>TEXT(SalesData[[#This Row],[Order Date]],"mmm")</f>
        <v>Jun</v>
      </c>
      <c r="AB8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84" spans="1:28">
      <c r="A84">
        <v>159</v>
      </c>
      <c r="B84" t="s">
        <v>618</v>
      </c>
      <c r="C84" s="1">
        <v>44725</v>
      </c>
      <c r="D84" s="1">
        <v>44730</v>
      </c>
      <c r="E84" t="s">
        <v>36</v>
      </c>
      <c r="F84" t="s">
        <v>619</v>
      </c>
      <c r="G84" t="s">
        <v>485</v>
      </c>
      <c r="H84" t="s">
        <v>39</v>
      </c>
      <c r="I84" t="s">
        <v>26</v>
      </c>
      <c r="J84" t="s">
        <v>40</v>
      </c>
      <c r="K84" t="s">
        <v>40</v>
      </c>
      <c r="L84">
        <v>39689</v>
      </c>
      <c r="M84" t="s">
        <v>41</v>
      </c>
      <c r="N84" t="s">
        <v>620</v>
      </c>
      <c r="O84" t="s">
        <v>64</v>
      </c>
      <c r="P84" t="s">
        <v>65</v>
      </c>
      <c r="Q84" t="s">
        <v>621</v>
      </c>
      <c r="R84" t="s">
        <v>622</v>
      </c>
      <c r="S84">
        <v>6</v>
      </c>
      <c r="T84" s="2">
        <v>0.3</v>
      </c>
      <c r="U84" t="s">
        <v>623</v>
      </c>
      <c r="V84" t="str">
        <f>CHOOSE(MOD(SalesData[[#This Row],[Row ID]]-1,8)+1,"Aarav Sharma","Ananya Singh","Rohan Verma","Priya Gupta","Arjun Mehta","Neha Kapoor","Rahul Joshi","Sneha Patel")</f>
        <v>Rahul Joshi</v>
      </c>
      <c r="W8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84" s="8">
        <f>IFERROR(VALUE(SUBSTITUTE(SUBSTITUTE(SalesData[[#This Row],[Profit]],"$",""),",",""))/VALUE(SUBSTITUTE(SUBSTITUTE(SalesData[[#This Row],[Sales]],"$",""),",","")),0)</f>
        <v>4.2105263157894736E-2</v>
      </c>
      <c r="Y84" s="6">
        <f>IFERROR(VALUE(SUBSTITUTE(SUBSTITUTE(SalesData[[#This Row],[Sales]],"$",""),",",""))/SalesData[[#This Row],[Quantity]],0)</f>
        <v>29.133333333333336</v>
      </c>
      <c r="Z84">
        <f>YEAR(SalesData[[#This Row],[Order Date]])</f>
        <v>2022</v>
      </c>
      <c r="AA84" t="str">
        <f>TEXT(SalesData[[#This Row],[Order Date]],"mmm")</f>
        <v>Jun</v>
      </c>
      <c r="AB8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85" spans="1:28">
      <c r="A85">
        <v>423</v>
      </c>
      <c r="B85" t="s">
        <v>624</v>
      </c>
      <c r="C85" s="1">
        <v>44726</v>
      </c>
      <c r="D85" s="1">
        <v>44729</v>
      </c>
      <c r="E85" t="s">
        <v>49</v>
      </c>
      <c r="F85" t="s">
        <v>625</v>
      </c>
      <c r="G85" t="s">
        <v>626</v>
      </c>
      <c r="H85" t="s">
        <v>39</v>
      </c>
      <c r="I85" t="s">
        <v>26</v>
      </c>
      <c r="J85" t="s">
        <v>81</v>
      </c>
      <c r="K85" t="s">
        <v>81</v>
      </c>
      <c r="L85">
        <v>71914</v>
      </c>
      <c r="M85" t="s">
        <v>62</v>
      </c>
      <c r="N85" t="s">
        <v>627</v>
      </c>
      <c r="O85" t="s">
        <v>43</v>
      </c>
      <c r="P85" t="s">
        <v>214</v>
      </c>
      <c r="Q85" t="s">
        <v>628</v>
      </c>
      <c r="R85" t="s">
        <v>629</v>
      </c>
      <c r="S85">
        <v>3</v>
      </c>
      <c r="T85" s="2">
        <v>0.1</v>
      </c>
      <c r="U85" t="s">
        <v>630</v>
      </c>
      <c r="V85" t="str">
        <f>CHOOSE(MOD(SalesData[[#This Row],[Row ID]]-1,8)+1,"Aarav Sharma","Ananya Singh","Rohan Verma","Priya Gupta","Arjun Mehta","Neha Kapoor","Rahul Joshi","Sneha Patel")</f>
        <v>Rahul Joshi</v>
      </c>
      <c r="W8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85" s="8">
        <f>IFERROR(VALUE(SUBSTITUTE(SUBSTITUTE(SalesData[[#This Row],[Profit]],"$",""),",",""))/VALUE(SUBSTITUTE(SUBSTITUTE(SalesData[[#This Row],[Sales]],"$",""),",","")),0)</f>
        <v>0.27477406056762327</v>
      </c>
      <c r="Y85" s="6">
        <f>IFERROR(VALUE(SUBSTITUTE(SUBSTITUTE(SalesData[[#This Row],[Sales]],"$",""),",",""))/SalesData[[#This Row],[Quantity]],0)</f>
        <v>21.023333333333333</v>
      </c>
      <c r="Z85">
        <f>YEAR(SalesData[[#This Row],[Order Date]])</f>
        <v>2022</v>
      </c>
      <c r="AA85" t="str">
        <f>TEXT(SalesData[[#This Row],[Order Date]],"mmm")</f>
        <v>Jun</v>
      </c>
      <c r="AB8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86" spans="1:28">
      <c r="A86">
        <v>3</v>
      </c>
      <c r="B86" t="s">
        <v>631</v>
      </c>
      <c r="C86" s="1">
        <v>44728</v>
      </c>
      <c r="D86" s="1">
        <v>44729</v>
      </c>
      <c r="E86" t="s">
        <v>36</v>
      </c>
      <c r="F86" t="s">
        <v>632</v>
      </c>
      <c r="G86" t="s">
        <v>633</v>
      </c>
      <c r="H86" t="s">
        <v>25</v>
      </c>
      <c r="I86" t="s">
        <v>26</v>
      </c>
      <c r="J86" t="s">
        <v>229</v>
      </c>
      <c r="K86" t="s">
        <v>229</v>
      </c>
      <c r="L86">
        <v>77121</v>
      </c>
      <c r="M86" t="s">
        <v>73</v>
      </c>
      <c r="N86" t="s">
        <v>634</v>
      </c>
      <c r="O86" t="s">
        <v>64</v>
      </c>
      <c r="P86" t="s">
        <v>136</v>
      </c>
      <c r="Q86" t="s">
        <v>635</v>
      </c>
      <c r="R86" t="s">
        <v>636</v>
      </c>
      <c r="S86">
        <v>5</v>
      </c>
      <c r="T86" s="2">
        <v>0.3</v>
      </c>
      <c r="U86" t="s">
        <v>637</v>
      </c>
      <c r="V86" t="str">
        <f>CHOOSE(MOD(SalesData[[#This Row],[Row ID]]-1,8)+1,"Aarav Sharma","Ananya Singh","Rohan Verma","Priya Gupta","Arjun Mehta","Neha Kapoor","Rahul Joshi","Sneha Patel")</f>
        <v>Rohan Verma</v>
      </c>
      <c r="W8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86" s="8">
        <f>IFERROR(VALUE(SUBSTITUTE(SUBSTITUTE(SalesData[[#This Row],[Profit]],"$",""),",",""))/VALUE(SUBSTITUTE(SUBSTITUTE(SalesData[[#This Row],[Sales]],"$",""),",","")),0)</f>
        <v>0.15332337565347273</v>
      </c>
      <c r="Y86" s="6">
        <f>IFERROR(VALUE(SUBSTITUTE(SUBSTITUTE(SalesData[[#This Row],[Sales]],"$",""),",",""))/SalesData[[#This Row],[Quantity]],0)</f>
        <v>26.78</v>
      </c>
      <c r="Z86">
        <f>YEAR(SalesData[[#This Row],[Order Date]])</f>
        <v>2022</v>
      </c>
      <c r="AA86" t="str">
        <f>TEXT(SalesData[[#This Row],[Order Date]],"mmm")</f>
        <v>Jun</v>
      </c>
      <c r="AB8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87" spans="1:28">
      <c r="A87">
        <v>30</v>
      </c>
      <c r="B87" t="s">
        <v>638</v>
      </c>
      <c r="C87" s="1">
        <v>44728</v>
      </c>
      <c r="D87" s="1">
        <v>44731</v>
      </c>
      <c r="E87" t="s">
        <v>36</v>
      </c>
      <c r="F87" t="s">
        <v>639</v>
      </c>
      <c r="G87" t="s">
        <v>640</v>
      </c>
      <c r="H87" t="s">
        <v>25</v>
      </c>
      <c r="I87" t="s">
        <v>26</v>
      </c>
      <c r="J87" t="s">
        <v>641</v>
      </c>
      <c r="K87" t="s">
        <v>641</v>
      </c>
      <c r="L87">
        <v>90219</v>
      </c>
      <c r="M87" t="s">
        <v>62</v>
      </c>
      <c r="N87" t="s">
        <v>642</v>
      </c>
      <c r="O87" t="s">
        <v>43</v>
      </c>
      <c r="P87" t="s">
        <v>189</v>
      </c>
      <c r="Q87" t="s">
        <v>643</v>
      </c>
      <c r="R87" t="s">
        <v>644</v>
      </c>
      <c r="S87">
        <v>4</v>
      </c>
      <c r="T87" s="2">
        <v>0</v>
      </c>
      <c r="U87" t="s">
        <v>645</v>
      </c>
      <c r="V87" t="str">
        <f>CHOOSE(MOD(SalesData[[#This Row],[Row ID]]-1,8)+1,"Aarav Sharma","Ananya Singh","Rohan Verma","Priya Gupta","Arjun Mehta","Neha Kapoor","Rahul Joshi","Sneha Patel")</f>
        <v>Neha Kapoor</v>
      </c>
      <c r="W8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87" s="8">
        <f>IFERROR(VALUE(SUBSTITUTE(SUBSTITUTE(SalesData[[#This Row],[Profit]],"$",""),",",""))/VALUE(SUBSTITUTE(SUBSTITUTE(SalesData[[#This Row],[Sales]],"$",""),",","")),0)</f>
        <v>0.24954954954954955</v>
      </c>
      <c r="Y87" s="6">
        <f>IFERROR(VALUE(SUBSTITUTE(SUBSTITUTE(SalesData[[#This Row],[Sales]],"$",""),",",""))/SalesData[[#This Row],[Quantity]],0)</f>
        <v>27.75</v>
      </c>
      <c r="Z87">
        <f>YEAR(SalesData[[#This Row],[Order Date]])</f>
        <v>2022</v>
      </c>
      <c r="AA87" t="str">
        <f>TEXT(SalesData[[#This Row],[Order Date]],"mmm")</f>
        <v>Jun</v>
      </c>
      <c r="AB8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88" spans="1:28">
      <c r="A88">
        <v>29</v>
      </c>
      <c r="B88" t="s">
        <v>646</v>
      </c>
      <c r="C88" s="1">
        <v>44731</v>
      </c>
      <c r="D88" s="1">
        <v>44734</v>
      </c>
      <c r="E88" t="s">
        <v>36</v>
      </c>
      <c r="F88" t="s">
        <v>647</v>
      </c>
      <c r="G88" t="s">
        <v>648</v>
      </c>
      <c r="H88" t="s">
        <v>25</v>
      </c>
      <c r="I88" t="s">
        <v>26</v>
      </c>
      <c r="J88" t="s">
        <v>237</v>
      </c>
      <c r="K88" t="s">
        <v>237</v>
      </c>
      <c r="L88">
        <v>82124</v>
      </c>
      <c r="M88" t="s">
        <v>41</v>
      </c>
      <c r="N88" t="s">
        <v>649</v>
      </c>
      <c r="O88" t="s">
        <v>43</v>
      </c>
      <c r="P88" t="s">
        <v>44</v>
      </c>
      <c r="Q88" t="s">
        <v>650</v>
      </c>
      <c r="R88" t="s">
        <v>651</v>
      </c>
      <c r="S88">
        <v>4</v>
      </c>
      <c r="T88" s="2">
        <v>0.05</v>
      </c>
      <c r="U88" t="s">
        <v>652</v>
      </c>
      <c r="V88" t="str">
        <f>CHOOSE(MOD(SalesData[[#This Row],[Row ID]]-1,8)+1,"Aarav Sharma","Ananya Singh","Rohan Verma","Priya Gupta","Arjun Mehta","Neha Kapoor","Rahul Joshi","Sneha Patel")</f>
        <v>Arjun Mehta</v>
      </c>
      <c r="W8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88" s="8">
        <f>IFERROR(VALUE(SUBSTITUTE(SUBSTITUTE(SalesData[[#This Row],[Profit]],"$",""),",",""))/VALUE(SUBSTITUTE(SUBSTITUTE(SalesData[[#This Row],[Sales]],"$",""),",","")),0)</f>
        <v>0.17593934663842123</v>
      </c>
      <c r="Y88" s="6">
        <f>IFERROR(VALUE(SUBSTITUTE(SUBSTITUTE(SalesData[[#This Row],[Sales]],"$",""),",",""))/SalesData[[#This Row],[Quantity]],0)</f>
        <v>22.422499999999999</v>
      </c>
      <c r="Z88">
        <f>YEAR(SalesData[[#This Row],[Order Date]])</f>
        <v>2022</v>
      </c>
      <c r="AA88" t="str">
        <f>TEXT(SalesData[[#This Row],[Order Date]],"mmm")</f>
        <v>Jun</v>
      </c>
      <c r="AB8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89" spans="1:28">
      <c r="A89">
        <v>182</v>
      </c>
      <c r="B89" t="s">
        <v>653</v>
      </c>
      <c r="C89" s="1">
        <v>44732</v>
      </c>
      <c r="D89" s="1">
        <v>44733</v>
      </c>
      <c r="E89" t="s">
        <v>49</v>
      </c>
      <c r="F89" t="s">
        <v>654</v>
      </c>
      <c r="G89" t="s">
        <v>244</v>
      </c>
      <c r="H89" t="s">
        <v>25</v>
      </c>
      <c r="I89" t="s">
        <v>26</v>
      </c>
      <c r="J89" t="s">
        <v>363</v>
      </c>
      <c r="K89" t="s">
        <v>363</v>
      </c>
      <c r="L89">
        <v>77712</v>
      </c>
      <c r="M89" t="s">
        <v>62</v>
      </c>
      <c r="N89" t="s">
        <v>655</v>
      </c>
      <c r="O89" t="s">
        <v>43</v>
      </c>
      <c r="P89" t="s">
        <v>128</v>
      </c>
      <c r="Q89" t="s">
        <v>656</v>
      </c>
      <c r="R89" t="s">
        <v>657</v>
      </c>
      <c r="S89">
        <v>5</v>
      </c>
      <c r="T89" s="2">
        <v>0.15</v>
      </c>
      <c r="U89" t="s">
        <v>658</v>
      </c>
      <c r="V89" t="str">
        <f>CHOOSE(MOD(SalesData[[#This Row],[Row ID]]-1,8)+1,"Aarav Sharma","Ananya Singh","Rohan Verma","Priya Gupta","Arjun Mehta","Neha Kapoor","Rahul Joshi","Sneha Patel")</f>
        <v>Neha Kapoor</v>
      </c>
      <c r="W8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89" s="8">
        <f>IFERROR(VALUE(SUBSTITUTE(SUBSTITUTE(SalesData[[#This Row],[Profit]],"$",""),",",""))/VALUE(SUBSTITUTE(SUBSTITUTE(SalesData[[#This Row],[Sales]],"$",""),",","")),0)</f>
        <v>8.671654605666626E-2</v>
      </c>
      <c r="Y89" s="6">
        <f>IFERROR(VALUE(SUBSTITUTE(SUBSTITUTE(SalesData[[#This Row],[Sales]],"$",""),",",""))/SalesData[[#This Row],[Quantity]],0)</f>
        <v>16.306000000000001</v>
      </c>
      <c r="Z89">
        <f>YEAR(SalesData[[#This Row],[Order Date]])</f>
        <v>2022</v>
      </c>
      <c r="AA89" t="str">
        <f>TEXT(SalesData[[#This Row],[Order Date]],"mmm")</f>
        <v>Jun</v>
      </c>
      <c r="AB8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90" spans="1:28">
      <c r="A90">
        <v>280</v>
      </c>
      <c r="B90" t="s">
        <v>659</v>
      </c>
      <c r="C90" s="1">
        <v>44733</v>
      </c>
      <c r="D90" s="1">
        <v>44734</v>
      </c>
      <c r="E90" t="s">
        <v>36</v>
      </c>
      <c r="F90" t="s">
        <v>660</v>
      </c>
      <c r="G90" t="s">
        <v>211</v>
      </c>
      <c r="H90" t="s">
        <v>25</v>
      </c>
      <c r="I90" t="s">
        <v>26</v>
      </c>
      <c r="J90" t="s">
        <v>52</v>
      </c>
      <c r="K90" t="s">
        <v>52</v>
      </c>
      <c r="L90">
        <v>27857</v>
      </c>
      <c r="M90" t="s">
        <v>41</v>
      </c>
      <c r="N90" t="s">
        <v>661</v>
      </c>
      <c r="O90" t="s">
        <v>30</v>
      </c>
      <c r="P90" t="s">
        <v>197</v>
      </c>
      <c r="Q90" t="s">
        <v>662</v>
      </c>
      <c r="R90" t="s">
        <v>663</v>
      </c>
      <c r="S90">
        <v>7</v>
      </c>
      <c r="T90" s="2">
        <v>0.3</v>
      </c>
      <c r="U90" t="s">
        <v>664</v>
      </c>
      <c r="V90" t="str">
        <f>CHOOSE(MOD(SalesData[[#This Row],[Row ID]]-1,8)+1,"Aarav Sharma","Ananya Singh","Rohan Verma","Priya Gupta","Arjun Mehta","Neha Kapoor","Rahul Joshi","Sneha Patel")</f>
        <v>Sneha Patel</v>
      </c>
      <c r="W9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90" s="8">
        <f>IFERROR(VALUE(SUBSTITUTE(SUBSTITUTE(SalesData[[#This Row],[Profit]],"$",""),",",""))/VALUE(SUBSTITUTE(SUBSTITUTE(SalesData[[#This Row],[Sales]],"$",""),",","")),0)</f>
        <v>-6.5378900445765234E-2</v>
      </c>
      <c r="Y90" s="6">
        <f>IFERROR(VALUE(SUBSTITUTE(SUBSTITUTE(SalesData[[#This Row],[Sales]],"$",""),",",""))/SalesData[[#This Row],[Quantity]],0)</f>
        <v>16.344285714285714</v>
      </c>
      <c r="Z90">
        <f>YEAR(SalesData[[#This Row],[Order Date]])</f>
        <v>2022</v>
      </c>
      <c r="AA90" t="str">
        <f>TEXT(SalesData[[#This Row],[Order Date]],"mmm")</f>
        <v>Jun</v>
      </c>
      <c r="AB9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91" spans="1:28">
      <c r="A91">
        <v>371</v>
      </c>
      <c r="B91" t="s">
        <v>665</v>
      </c>
      <c r="C91" s="1">
        <v>44737</v>
      </c>
      <c r="D91" s="1">
        <v>44741</v>
      </c>
      <c r="E91" t="s">
        <v>36</v>
      </c>
      <c r="F91" t="s">
        <v>666</v>
      </c>
      <c r="G91" t="s">
        <v>300</v>
      </c>
      <c r="H91" t="s">
        <v>39</v>
      </c>
      <c r="I91" t="s">
        <v>26</v>
      </c>
      <c r="J91" t="s">
        <v>40</v>
      </c>
      <c r="K91" t="s">
        <v>40</v>
      </c>
      <c r="L91">
        <v>34845</v>
      </c>
      <c r="M91" t="s">
        <v>41</v>
      </c>
      <c r="N91" t="s">
        <v>667</v>
      </c>
      <c r="O91" t="s">
        <v>43</v>
      </c>
      <c r="P91" t="s">
        <v>128</v>
      </c>
      <c r="Q91" t="s">
        <v>668</v>
      </c>
      <c r="R91" t="s">
        <v>669</v>
      </c>
      <c r="S91">
        <v>1</v>
      </c>
      <c r="T91" s="2">
        <v>0.3</v>
      </c>
      <c r="U91" t="s">
        <v>670</v>
      </c>
      <c r="V91" t="str">
        <f>CHOOSE(MOD(SalesData[[#This Row],[Row ID]]-1,8)+1,"Aarav Sharma","Ananya Singh","Rohan Verma","Priya Gupta","Arjun Mehta","Neha Kapoor","Rahul Joshi","Sneha Patel")</f>
        <v>Rohan Verma</v>
      </c>
      <c r="W9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91" s="8">
        <f>IFERROR(VALUE(SUBSTITUTE(SUBSTITUTE(SalesData[[#This Row],[Profit]],"$",""),",",""))/VALUE(SUBSTITUTE(SUBSTITUTE(SalesData[[#This Row],[Sales]],"$",""),",","")),0)</f>
        <v>-2.9829984544049455E-2</v>
      </c>
      <c r="Y91" s="6">
        <f>IFERROR(VALUE(SUBSTITUTE(SUBSTITUTE(SalesData[[#This Row],[Sales]],"$",""),",",""))/SalesData[[#This Row],[Quantity]],0)</f>
        <v>64.7</v>
      </c>
      <c r="Z91">
        <f>YEAR(SalesData[[#This Row],[Order Date]])</f>
        <v>2022</v>
      </c>
      <c r="AA91" t="str">
        <f>TEXT(SalesData[[#This Row],[Order Date]],"mmm")</f>
        <v>Jun</v>
      </c>
      <c r="AB9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92" spans="1:28">
      <c r="A92">
        <v>55</v>
      </c>
      <c r="B92" t="s">
        <v>671</v>
      </c>
      <c r="C92" s="1">
        <v>44738</v>
      </c>
      <c r="D92" s="1">
        <v>44742</v>
      </c>
      <c r="E92" t="s">
        <v>36</v>
      </c>
      <c r="F92" t="s">
        <v>672</v>
      </c>
      <c r="G92" t="s">
        <v>38</v>
      </c>
      <c r="H92" t="s">
        <v>25</v>
      </c>
      <c r="I92" t="s">
        <v>26</v>
      </c>
      <c r="J92" t="s">
        <v>52</v>
      </c>
      <c r="K92" t="s">
        <v>52</v>
      </c>
      <c r="L92">
        <v>85520</v>
      </c>
      <c r="M92" t="s">
        <v>41</v>
      </c>
      <c r="N92" t="s">
        <v>343</v>
      </c>
      <c r="O92" t="s">
        <v>43</v>
      </c>
      <c r="P92" t="s">
        <v>83</v>
      </c>
      <c r="Q92" t="s">
        <v>487</v>
      </c>
      <c r="R92" t="s">
        <v>673</v>
      </c>
      <c r="S92">
        <v>1</v>
      </c>
      <c r="T92" s="2">
        <v>0.15</v>
      </c>
      <c r="U92" t="s">
        <v>674</v>
      </c>
      <c r="V92" t="str">
        <f>CHOOSE(MOD(SalesData[[#This Row],[Row ID]]-1,8)+1,"Aarav Sharma","Ananya Singh","Rohan Verma","Priya Gupta","Arjun Mehta","Neha Kapoor","Rahul Joshi","Sneha Patel")</f>
        <v>Rahul Joshi</v>
      </c>
      <c r="W9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92" s="8">
        <f>IFERROR(VALUE(SUBSTITUTE(SUBSTITUTE(SalesData[[#This Row],[Profit]],"$",""),",",""))/VALUE(SUBSTITUTE(SUBSTITUTE(SalesData[[#This Row],[Sales]],"$",""),",","")),0)</f>
        <v>9.7640891218872872E-2</v>
      </c>
      <c r="Y92" s="6">
        <f>IFERROR(VALUE(SUBSTITUTE(SUBSTITUTE(SalesData[[#This Row],[Sales]],"$",""),",",""))/SalesData[[#This Row],[Quantity]],0)</f>
        <v>15.26</v>
      </c>
      <c r="Z92">
        <f>YEAR(SalesData[[#This Row],[Order Date]])</f>
        <v>2022</v>
      </c>
      <c r="AA92" t="str">
        <f>TEXT(SalesData[[#This Row],[Order Date]],"mmm")</f>
        <v>Jun</v>
      </c>
      <c r="AB9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93" spans="1:28">
      <c r="A93">
        <v>540</v>
      </c>
      <c r="B93" t="s">
        <v>675</v>
      </c>
      <c r="C93" s="1">
        <v>44740</v>
      </c>
      <c r="D93" s="1">
        <v>44746</v>
      </c>
      <c r="E93" t="s">
        <v>36</v>
      </c>
      <c r="F93" t="s">
        <v>676</v>
      </c>
      <c r="G93" t="s">
        <v>677</v>
      </c>
      <c r="H93" t="s">
        <v>39</v>
      </c>
      <c r="I93" t="s">
        <v>26</v>
      </c>
      <c r="J93" t="s">
        <v>72</v>
      </c>
      <c r="K93" t="s">
        <v>72</v>
      </c>
      <c r="L93">
        <v>95548</v>
      </c>
      <c r="M93" t="s">
        <v>73</v>
      </c>
      <c r="N93" t="s">
        <v>678</v>
      </c>
      <c r="O93" t="s">
        <v>30</v>
      </c>
      <c r="P93" t="s">
        <v>222</v>
      </c>
      <c r="Q93" t="s">
        <v>303</v>
      </c>
      <c r="R93" t="s">
        <v>679</v>
      </c>
      <c r="S93">
        <v>7</v>
      </c>
      <c r="T93" s="2">
        <v>0.1</v>
      </c>
      <c r="U93" t="s">
        <v>680</v>
      </c>
      <c r="V93" t="str">
        <f>CHOOSE(MOD(SalesData[[#This Row],[Row ID]]-1,8)+1,"Aarav Sharma","Ananya Singh","Rohan Verma","Priya Gupta","Arjun Mehta","Neha Kapoor","Rahul Joshi","Sneha Patel")</f>
        <v>Priya Gupta</v>
      </c>
      <c r="W9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93" s="8">
        <f>IFERROR(VALUE(SUBSTITUTE(SUBSTITUTE(SalesData[[#This Row],[Profit]],"$",""),",",""))/VALUE(SUBSTITUTE(SUBSTITUTE(SalesData[[#This Row],[Sales]],"$",""),",","")),0)</f>
        <v>0.15596330275229356</v>
      </c>
      <c r="Y93" s="6">
        <f>IFERROR(VALUE(SUBSTITUTE(SUBSTITUTE(SalesData[[#This Row],[Sales]],"$",""),",",""))/SalesData[[#This Row],[Quantity]],0)</f>
        <v>3.27</v>
      </c>
      <c r="Z93">
        <f>YEAR(SalesData[[#This Row],[Order Date]])</f>
        <v>2022</v>
      </c>
      <c r="AA93" t="str">
        <f>TEXT(SalesData[[#This Row],[Order Date]],"mmm")</f>
        <v>Jun</v>
      </c>
      <c r="AB9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94" spans="1:28">
      <c r="A94">
        <v>354</v>
      </c>
      <c r="B94" t="s">
        <v>681</v>
      </c>
      <c r="C94" s="1">
        <v>44741</v>
      </c>
      <c r="D94" s="1">
        <v>44743</v>
      </c>
      <c r="E94" t="s">
        <v>36</v>
      </c>
      <c r="F94" t="s">
        <v>682</v>
      </c>
      <c r="G94" t="s">
        <v>683</v>
      </c>
      <c r="H94" t="s">
        <v>25</v>
      </c>
      <c r="I94" t="s">
        <v>26</v>
      </c>
      <c r="J94" t="s">
        <v>96</v>
      </c>
      <c r="K94" t="s">
        <v>96</v>
      </c>
      <c r="L94">
        <v>13407</v>
      </c>
      <c r="M94" t="s">
        <v>28</v>
      </c>
      <c r="N94" t="s">
        <v>684</v>
      </c>
      <c r="O94" t="s">
        <v>43</v>
      </c>
      <c r="P94" t="s">
        <v>128</v>
      </c>
      <c r="Q94" t="s">
        <v>685</v>
      </c>
      <c r="R94" t="s">
        <v>686</v>
      </c>
      <c r="S94">
        <v>2</v>
      </c>
      <c r="T94" s="2">
        <v>0.5</v>
      </c>
      <c r="U94" t="s">
        <v>687</v>
      </c>
      <c r="V94" t="str">
        <f>CHOOSE(MOD(SalesData[[#This Row],[Row ID]]-1,8)+1,"Aarav Sharma","Ananya Singh","Rohan Verma","Priya Gupta","Arjun Mehta","Neha Kapoor","Rahul Joshi","Sneha Patel")</f>
        <v>Ananya Singh</v>
      </c>
      <c r="W9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94" s="8">
        <f>IFERROR(VALUE(SUBSTITUTE(SUBSTITUTE(SalesData[[#This Row],[Profit]],"$",""),",",""))/VALUE(SUBSTITUTE(SUBSTITUTE(SalesData[[#This Row],[Sales]],"$",""),",","")),0)</f>
        <v>-0.10866176798040526</v>
      </c>
      <c r="Y94" s="6">
        <f>IFERROR(VALUE(SUBSTITUTE(SUBSTITUTE(SalesData[[#This Row],[Sales]],"$",""),",",""))/SalesData[[#This Row],[Quantity]],0)</f>
        <v>44.91</v>
      </c>
      <c r="Z94">
        <f>YEAR(SalesData[[#This Row],[Order Date]])</f>
        <v>2022</v>
      </c>
      <c r="AA94" t="str">
        <f>TEXT(SalesData[[#This Row],[Order Date]],"mmm")</f>
        <v>Jun</v>
      </c>
      <c r="AB9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95" spans="1:28">
      <c r="A95">
        <v>445</v>
      </c>
      <c r="B95" t="s">
        <v>688</v>
      </c>
      <c r="C95" s="1">
        <v>44747</v>
      </c>
      <c r="D95" s="1">
        <v>44750</v>
      </c>
      <c r="E95" t="s">
        <v>36</v>
      </c>
      <c r="F95" t="s">
        <v>689</v>
      </c>
      <c r="G95" t="s">
        <v>471</v>
      </c>
      <c r="H95" t="s">
        <v>25</v>
      </c>
      <c r="I95" t="s">
        <v>26</v>
      </c>
      <c r="J95" t="s">
        <v>157</v>
      </c>
      <c r="K95" t="s">
        <v>157</v>
      </c>
      <c r="L95">
        <v>19491</v>
      </c>
      <c r="M95" t="s">
        <v>62</v>
      </c>
      <c r="N95" t="s">
        <v>690</v>
      </c>
      <c r="O95" t="s">
        <v>43</v>
      </c>
      <c r="P95" t="s">
        <v>44</v>
      </c>
      <c r="Q95" t="s">
        <v>239</v>
      </c>
      <c r="R95" t="s">
        <v>691</v>
      </c>
      <c r="S95">
        <v>6</v>
      </c>
      <c r="T95" s="2">
        <v>0.4</v>
      </c>
      <c r="U95" t="s">
        <v>692</v>
      </c>
      <c r="V95" t="str">
        <f>CHOOSE(MOD(SalesData[[#This Row],[Row ID]]-1,8)+1,"Aarav Sharma","Ananya Singh","Rohan Verma","Priya Gupta","Arjun Mehta","Neha Kapoor","Rahul Joshi","Sneha Patel")</f>
        <v>Arjun Mehta</v>
      </c>
      <c r="W9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95" s="8">
        <f>IFERROR(VALUE(SUBSTITUTE(SUBSTITUTE(SalesData[[#This Row],[Profit]],"$",""),",",""))/VALUE(SUBSTITUTE(SUBSTITUTE(SalesData[[#This Row],[Sales]],"$",""),",","")),0)</f>
        <v>-9.2616261921148371E-2</v>
      </c>
      <c r="Y95" s="6">
        <f>IFERROR(VALUE(SUBSTITUTE(SUBSTITUTE(SalesData[[#This Row],[Sales]],"$",""),",",""))/SalesData[[#This Row],[Quantity]],0)</f>
        <v>16.951666666666664</v>
      </c>
      <c r="Z95">
        <f>YEAR(SalesData[[#This Row],[Order Date]])</f>
        <v>2022</v>
      </c>
      <c r="AA95" t="str">
        <f>TEXT(SalesData[[#This Row],[Order Date]],"mmm")</f>
        <v>Jul</v>
      </c>
      <c r="AB9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96" spans="1:28">
      <c r="A96">
        <v>232</v>
      </c>
      <c r="B96" t="s">
        <v>693</v>
      </c>
      <c r="C96" s="1">
        <v>44748</v>
      </c>
      <c r="D96" s="1">
        <v>44752</v>
      </c>
      <c r="E96" t="s">
        <v>36</v>
      </c>
      <c r="F96" t="s">
        <v>694</v>
      </c>
      <c r="G96" t="s">
        <v>451</v>
      </c>
      <c r="H96" t="s">
        <v>60</v>
      </c>
      <c r="I96" t="s">
        <v>26</v>
      </c>
      <c r="J96" t="s">
        <v>157</v>
      </c>
      <c r="K96" t="s">
        <v>157</v>
      </c>
      <c r="L96">
        <v>58920</v>
      </c>
      <c r="M96" t="s">
        <v>62</v>
      </c>
      <c r="N96" t="s">
        <v>433</v>
      </c>
      <c r="O96" t="s">
        <v>64</v>
      </c>
      <c r="P96" t="s">
        <v>65</v>
      </c>
      <c r="Q96" t="s">
        <v>695</v>
      </c>
      <c r="R96" t="s">
        <v>696</v>
      </c>
      <c r="S96">
        <v>4</v>
      </c>
      <c r="T96" s="2">
        <v>0.15</v>
      </c>
      <c r="U96" t="s">
        <v>697</v>
      </c>
      <c r="V96" t="str">
        <f>CHOOSE(MOD(SalesData[[#This Row],[Row ID]]-1,8)+1,"Aarav Sharma","Ananya Singh","Rohan Verma","Priya Gupta","Arjun Mehta","Neha Kapoor","Rahul Joshi","Sneha Patel")</f>
        <v>Sneha Patel</v>
      </c>
      <c r="W9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96" s="8">
        <f>IFERROR(VALUE(SUBSTITUTE(SUBSTITUTE(SalesData[[#This Row],[Profit]],"$",""),",",""))/VALUE(SUBSTITUTE(SUBSTITUTE(SalesData[[#This Row],[Sales]],"$",""),",","")),0)</f>
        <v>0.1169864295741694</v>
      </c>
      <c r="Y96" s="6">
        <f>IFERROR(VALUE(SUBSTITUTE(SUBSTITUTE(SalesData[[#This Row],[Sales]],"$",""),",",""))/SalesData[[#This Row],[Quantity]],0)</f>
        <v>69.452500000000001</v>
      </c>
      <c r="Z96">
        <f>YEAR(SalesData[[#This Row],[Order Date]])</f>
        <v>2022</v>
      </c>
      <c r="AA96" t="str">
        <f>TEXT(SalesData[[#This Row],[Order Date]],"mmm")</f>
        <v>Jul</v>
      </c>
      <c r="AB9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97" spans="1:28">
      <c r="A97">
        <v>223</v>
      </c>
      <c r="B97" t="s">
        <v>698</v>
      </c>
      <c r="C97" s="1">
        <v>44750</v>
      </c>
      <c r="D97" s="1">
        <v>44754</v>
      </c>
      <c r="E97" t="s">
        <v>36</v>
      </c>
      <c r="F97" t="s">
        <v>699</v>
      </c>
      <c r="G97" t="s">
        <v>700</v>
      </c>
      <c r="H97" t="s">
        <v>60</v>
      </c>
      <c r="I97" t="s">
        <v>26</v>
      </c>
      <c r="J97" t="s">
        <v>237</v>
      </c>
      <c r="K97" t="s">
        <v>237</v>
      </c>
      <c r="L97">
        <v>49104</v>
      </c>
      <c r="M97" t="s">
        <v>41</v>
      </c>
      <c r="N97" t="s">
        <v>701</v>
      </c>
      <c r="O97" t="s">
        <v>64</v>
      </c>
      <c r="P97" t="s">
        <v>105</v>
      </c>
      <c r="Q97" t="s">
        <v>702</v>
      </c>
      <c r="R97" t="s">
        <v>703</v>
      </c>
      <c r="S97">
        <v>3</v>
      </c>
      <c r="T97" s="2">
        <v>0.2</v>
      </c>
      <c r="U97" t="s">
        <v>704</v>
      </c>
      <c r="V97" t="str">
        <f>CHOOSE(MOD(SalesData[[#This Row],[Row ID]]-1,8)+1,"Aarav Sharma","Ananya Singh","Rohan Verma","Priya Gupta","Arjun Mehta","Neha Kapoor","Rahul Joshi","Sneha Patel")</f>
        <v>Rahul Joshi</v>
      </c>
      <c r="W9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97" s="8">
        <f>IFERROR(VALUE(SUBSTITUTE(SUBSTITUTE(SalesData[[#This Row],[Profit]],"$",""),",",""))/VALUE(SUBSTITUTE(SUBSTITUTE(SalesData[[#This Row],[Sales]],"$",""),",","")),0)</f>
        <v>4.5972373118112683E-2</v>
      </c>
      <c r="Y97" s="6">
        <f>IFERROR(VALUE(SUBSTITUTE(SUBSTITUTE(SalesData[[#This Row],[Sales]],"$",""),",",""))/SalesData[[#This Row],[Quantity]],0)</f>
        <v>107.38333333333333</v>
      </c>
      <c r="Z97">
        <f>YEAR(SalesData[[#This Row],[Order Date]])</f>
        <v>2022</v>
      </c>
      <c r="AA97" t="str">
        <f>TEXT(SalesData[[#This Row],[Order Date]],"mmm")</f>
        <v>Jul</v>
      </c>
      <c r="AB9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98" spans="1:28">
      <c r="A98">
        <v>411</v>
      </c>
      <c r="B98" t="s">
        <v>705</v>
      </c>
      <c r="C98" s="1">
        <v>44753</v>
      </c>
      <c r="D98" s="1">
        <v>44754</v>
      </c>
      <c r="E98" t="s">
        <v>22</v>
      </c>
      <c r="F98" t="s">
        <v>706</v>
      </c>
      <c r="G98" t="s">
        <v>707</v>
      </c>
      <c r="H98" t="s">
        <v>39</v>
      </c>
      <c r="I98" t="s">
        <v>26</v>
      </c>
      <c r="J98" t="s">
        <v>204</v>
      </c>
      <c r="K98" t="s">
        <v>204</v>
      </c>
      <c r="L98">
        <v>95914</v>
      </c>
      <c r="M98" t="s">
        <v>28</v>
      </c>
      <c r="N98" t="s">
        <v>701</v>
      </c>
      <c r="O98" t="s">
        <v>30</v>
      </c>
      <c r="P98" t="s">
        <v>222</v>
      </c>
      <c r="Q98" t="s">
        <v>708</v>
      </c>
      <c r="R98" t="s">
        <v>709</v>
      </c>
      <c r="S98">
        <v>4</v>
      </c>
      <c r="T98" s="2">
        <v>0.3</v>
      </c>
      <c r="U98" t="s">
        <v>710</v>
      </c>
      <c r="V98" t="str">
        <f>CHOOSE(MOD(SalesData[[#This Row],[Row ID]]-1,8)+1,"Aarav Sharma","Ananya Singh","Rohan Verma","Priya Gupta","Arjun Mehta","Neha Kapoor","Rahul Joshi","Sneha Patel")</f>
        <v>Rohan Verma</v>
      </c>
      <c r="W9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98" s="8">
        <f>IFERROR(VALUE(SUBSTITUTE(SUBSTITUTE(SalesData[[#This Row],[Profit]],"$",""),",",""))/VALUE(SUBSTITUTE(SUBSTITUTE(SalesData[[#This Row],[Sales]],"$",""),",","")),0)</f>
        <v>-6.5872151874558332E-2</v>
      </c>
      <c r="Y98" s="6">
        <f>IFERROR(VALUE(SUBSTITUTE(SUBSTITUTE(SalesData[[#This Row],[Sales]],"$",""),",",""))/SalesData[[#This Row],[Quantity]],0)</f>
        <v>130.89750000000001</v>
      </c>
      <c r="Z98">
        <f>YEAR(SalesData[[#This Row],[Order Date]])</f>
        <v>2022</v>
      </c>
      <c r="AA98" t="str">
        <f>TEXT(SalesData[[#This Row],[Order Date]],"mmm")</f>
        <v>Jul</v>
      </c>
      <c r="AB9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99" spans="1:28">
      <c r="A99">
        <v>193</v>
      </c>
      <c r="B99" t="s">
        <v>711</v>
      </c>
      <c r="C99" s="1">
        <v>44754</v>
      </c>
      <c r="D99" s="1">
        <v>44757</v>
      </c>
      <c r="E99" t="s">
        <v>49</v>
      </c>
      <c r="F99" t="s">
        <v>712</v>
      </c>
      <c r="G99" t="s">
        <v>713</v>
      </c>
      <c r="H99" t="s">
        <v>60</v>
      </c>
      <c r="I99" t="s">
        <v>26</v>
      </c>
      <c r="J99" t="s">
        <v>96</v>
      </c>
      <c r="K99" t="s">
        <v>96</v>
      </c>
      <c r="L99">
        <v>96328</v>
      </c>
      <c r="M99" t="s">
        <v>28</v>
      </c>
      <c r="N99" t="s">
        <v>287</v>
      </c>
      <c r="O99" t="s">
        <v>64</v>
      </c>
      <c r="P99" t="s">
        <v>65</v>
      </c>
      <c r="Q99" t="s">
        <v>714</v>
      </c>
      <c r="R99" t="s">
        <v>715</v>
      </c>
      <c r="S99">
        <v>3</v>
      </c>
      <c r="T99" s="2">
        <v>0.3</v>
      </c>
      <c r="U99" t="s">
        <v>716</v>
      </c>
      <c r="V99" t="str">
        <f>CHOOSE(MOD(SalesData[[#This Row],[Row ID]]-1,8)+1,"Aarav Sharma","Ananya Singh","Rohan Verma","Priya Gupta","Arjun Mehta","Neha Kapoor","Rahul Joshi","Sneha Patel")</f>
        <v>Aarav Sharma</v>
      </c>
      <c r="W9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99" s="8">
        <f>IFERROR(VALUE(SUBSTITUTE(SUBSTITUTE(SalesData[[#This Row],[Profit]],"$",""),",",""))/VALUE(SUBSTITUTE(SUBSTITUTE(SalesData[[#This Row],[Sales]],"$",""),",","")),0)</f>
        <v>6.6086009798584658E-2</v>
      </c>
      <c r="Y99" s="6">
        <f>IFERROR(VALUE(SUBSTITUTE(SUBSTITUTE(SalesData[[#This Row],[Sales]],"$",""),",",""))/SalesData[[#This Row],[Quantity]],0)</f>
        <v>30.616666666666664</v>
      </c>
      <c r="Z99">
        <f>YEAR(SalesData[[#This Row],[Order Date]])</f>
        <v>2022</v>
      </c>
      <c r="AA99" t="str">
        <f>TEXT(SalesData[[#This Row],[Order Date]],"mmm")</f>
        <v>Jul</v>
      </c>
      <c r="AB9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00" spans="1:28">
      <c r="A100">
        <v>153</v>
      </c>
      <c r="B100" t="s">
        <v>717</v>
      </c>
      <c r="C100" s="1">
        <v>44756</v>
      </c>
      <c r="D100" s="1">
        <v>44761</v>
      </c>
      <c r="E100" t="s">
        <v>49</v>
      </c>
      <c r="F100" t="s">
        <v>718</v>
      </c>
      <c r="G100" t="s">
        <v>719</v>
      </c>
      <c r="H100" t="s">
        <v>25</v>
      </c>
      <c r="I100" t="s">
        <v>26</v>
      </c>
      <c r="J100" t="s">
        <v>245</v>
      </c>
      <c r="K100" t="s">
        <v>245</v>
      </c>
      <c r="L100">
        <v>78803</v>
      </c>
      <c r="M100" t="s">
        <v>41</v>
      </c>
      <c r="N100" t="s">
        <v>720</v>
      </c>
      <c r="O100" t="s">
        <v>64</v>
      </c>
      <c r="P100" t="s">
        <v>405</v>
      </c>
      <c r="Q100" t="s">
        <v>480</v>
      </c>
      <c r="R100" t="s">
        <v>721</v>
      </c>
      <c r="S100">
        <v>6</v>
      </c>
      <c r="T100" s="2">
        <v>0.2</v>
      </c>
      <c r="U100" t="s">
        <v>722</v>
      </c>
      <c r="V100" t="str">
        <f>CHOOSE(MOD(SalesData[[#This Row],[Row ID]]-1,8)+1,"Aarav Sharma","Ananya Singh","Rohan Verma","Priya Gupta","Arjun Mehta","Neha Kapoor","Rahul Joshi","Sneha Patel")</f>
        <v>Aarav Sharma</v>
      </c>
      <c r="W10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00" s="8">
        <f>IFERROR(VALUE(SUBSTITUTE(SUBSTITUTE(SalesData[[#This Row],[Profit]],"$",""),",",""))/VALUE(SUBSTITUTE(SUBSTITUTE(SalesData[[#This Row],[Sales]],"$",""),",","")),0)</f>
        <v>6.0584496846857905E-2</v>
      </c>
      <c r="Y100" s="6">
        <f>IFERROR(VALUE(SUBSTITUTE(SUBSTITUTE(SalesData[[#This Row],[Sales]],"$",""),",",""))/SalesData[[#This Row],[Quantity]],0)</f>
        <v>67.921666666666667</v>
      </c>
      <c r="Z100">
        <f>YEAR(SalesData[[#This Row],[Order Date]])</f>
        <v>2022</v>
      </c>
      <c r="AA100" t="str">
        <f>TEXT(SalesData[[#This Row],[Order Date]],"mmm")</f>
        <v>Jul</v>
      </c>
      <c r="AB10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01" spans="1:28">
      <c r="A101">
        <v>124</v>
      </c>
      <c r="B101" t="s">
        <v>723</v>
      </c>
      <c r="C101" s="1">
        <v>44763</v>
      </c>
      <c r="D101" s="1">
        <v>44766</v>
      </c>
      <c r="E101" t="s">
        <v>49</v>
      </c>
      <c r="F101" t="s">
        <v>724</v>
      </c>
      <c r="G101" t="s">
        <v>397</v>
      </c>
      <c r="H101" t="s">
        <v>25</v>
      </c>
      <c r="I101" t="s">
        <v>26</v>
      </c>
      <c r="J101" t="s">
        <v>27</v>
      </c>
      <c r="K101" t="s">
        <v>27</v>
      </c>
      <c r="L101">
        <v>75697</v>
      </c>
      <c r="M101" t="s">
        <v>28</v>
      </c>
      <c r="N101" t="s">
        <v>725</v>
      </c>
      <c r="O101" t="s">
        <v>30</v>
      </c>
      <c r="P101" t="s">
        <v>31</v>
      </c>
      <c r="Q101" t="s">
        <v>726</v>
      </c>
      <c r="R101" t="s">
        <v>727</v>
      </c>
      <c r="S101">
        <v>2</v>
      </c>
      <c r="T101" s="2">
        <v>0.15</v>
      </c>
      <c r="U101" t="s">
        <v>728</v>
      </c>
      <c r="V101" t="str">
        <f>CHOOSE(MOD(SalesData[[#This Row],[Row ID]]-1,8)+1,"Aarav Sharma","Ananya Singh","Rohan Verma","Priya Gupta","Arjun Mehta","Neha Kapoor","Rahul Joshi","Sneha Patel")</f>
        <v>Priya Gupta</v>
      </c>
      <c r="W10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01" s="8">
        <f>IFERROR(VALUE(SUBSTITUTE(SUBSTITUTE(SalesData[[#This Row],[Profit]],"$",""),",",""))/VALUE(SUBSTITUTE(SUBSTITUTE(SalesData[[#This Row],[Sales]],"$",""),",","")),0)</f>
        <v>4.6148507980569048E-2</v>
      </c>
      <c r="Y101" s="6">
        <f>IFERROR(VALUE(SUBSTITUTE(SUBSTITUTE(SalesData[[#This Row],[Sales]],"$",""),",",""))/SalesData[[#This Row],[Quantity]],0)</f>
        <v>230.56</v>
      </c>
      <c r="Z101">
        <f>YEAR(SalesData[[#This Row],[Order Date]])</f>
        <v>2022</v>
      </c>
      <c r="AA101" t="str">
        <f>TEXT(SalesData[[#This Row],[Order Date]],"mmm")</f>
        <v>Jul</v>
      </c>
      <c r="AB10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02" spans="1:28">
      <c r="A102">
        <v>458</v>
      </c>
      <c r="B102" t="s">
        <v>729</v>
      </c>
      <c r="C102" s="1">
        <v>44765</v>
      </c>
      <c r="D102" s="1">
        <v>44767</v>
      </c>
      <c r="E102" t="s">
        <v>36</v>
      </c>
      <c r="F102" t="s">
        <v>730</v>
      </c>
      <c r="G102" t="s">
        <v>731</v>
      </c>
      <c r="H102" t="s">
        <v>25</v>
      </c>
      <c r="I102" t="s">
        <v>26</v>
      </c>
      <c r="J102" t="s">
        <v>204</v>
      </c>
      <c r="K102" t="s">
        <v>204</v>
      </c>
      <c r="L102">
        <v>32228</v>
      </c>
      <c r="M102" t="s">
        <v>28</v>
      </c>
      <c r="N102" t="s">
        <v>732</v>
      </c>
      <c r="O102" t="s">
        <v>64</v>
      </c>
      <c r="P102" t="s">
        <v>136</v>
      </c>
      <c r="Q102" t="s">
        <v>733</v>
      </c>
      <c r="R102" t="s">
        <v>734</v>
      </c>
      <c r="S102">
        <v>4</v>
      </c>
      <c r="T102" s="2">
        <v>0.2</v>
      </c>
      <c r="U102" t="s">
        <v>735</v>
      </c>
      <c r="V102" t="str">
        <f>CHOOSE(MOD(SalesData[[#This Row],[Row ID]]-1,8)+1,"Aarav Sharma","Ananya Singh","Rohan Verma","Priya Gupta","Arjun Mehta","Neha Kapoor","Rahul Joshi","Sneha Patel")</f>
        <v>Ananya Singh</v>
      </c>
      <c r="W10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02" s="8">
        <f>IFERROR(VALUE(SUBSTITUTE(SUBSTITUTE(SalesData[[#This Row],[Profit]],"$",""),",",""))/VALUE(SUBSTITUTE(SUBSTITUTE(SalesData[[#This Row],[Sales]],"$",""),",","")),0)</f>
        <v>0.20802324757247148</v>
      </c>
      <c r="Y102" s="6">
        <f>IFERROR(VALUE(SUBSTITUTE(SUBSTITUTE(SalesData[[#This Row],[Sales]],"$",""),",",""))/SalesData[[#This Row],[Quantity]],0)</f>
        <v>70.545000000000002</v>
      </c>
      <c r="Z102">
        <f>YEAR(SalesData[[#This Row],[Order Date]])</f>
        <v>2022</v>
      </c>
      <c r="AA102" t="str">
        <f>TEXT(SalesData[[#This Row],[Order Date]],"mmm")</f>
        <v>Jul</v>
      </c>
      <c r="AB10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03" spans="1:28">
      <c r="A103">
        <v>466</v>
      </c>
      <c r="B103" t="s">
        <v>736</v>
      </c>
      <c r="C103" s="1">
        <v>44769</v>
      </c>
      <c r="D103" s="1">
        <v>44770</v>
      </c>
      <c r="E103" t="s">
        <v>36</v>
      </c>
      <c r="F103" t="s">
        <v>737</v>
      </c>
      <c r="G103" t="s">
        <v>71</v>
      </c>
      <c r="H103" t="s">
        <v>60</v>
      </c>
      <c r="I103" t="s">
        <v>26</v>
      </c>
      <c r="J103" t="s">
        <v>52</v>
      </c>
      <c r="K103" t="s">
        <v>52</v>
      </c>
      <c r="L103">
        <v>90879</v>
      </c>
      <c r="M103" t="s">
        <v>41</v>
      </c>
      <c r="N103" t="s">
        <v>738</v>
      </c>
      <c r="O103" t="s">
        <v>30</v>
      </c>
      <c r="P103" t="s">
        <v>31</v>
      </c>
      <c r="Q103" t="s">
        <v>739</v>
      </c>
      <c r="R103" t="s">
        <v>740</v>
      </c>
      <c r="S103">
        <v>7</v>
      </c>
      <c r="T103" s="2">
        <v>0.5</v>
      </c>
      <c r="U103" t="s">
        <v>741</v>
      </c>
      <c r="V103" t="str">
        <f>CHOOSE(MOD(SalesData[[#This Row],[Row ID]]-1,8)+1,"Aarav Sharma","Ananya Singh","Rohan Verma","Priya Gupta","Arjun Mehta","Neha Kapoor","Rahul Joshi","Sneha Patel")</f>
        <v>Ananya Singh</v>
      </c>
      <c r="W10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03" s="8">
        <f>IFERROR(VALUE(SUBSTITUTE(SUBSTITUTE(SalesData[[#This Row],[Profit]],"$",""),",",""))/VALUE(SUBSTITUTE(SUBSTITUTE(SalesData[[#This Row],[Sales]],"$",""),",","")),0)</f>
        <v>-0.2165535212233422</v>
      </c>
      <c r="Y103" s="6">
        <f>IFERROR(VALUE(SUBSTITUTE(SUBSTITUTE(SalesData[[#This Row],[Sales]],"$",""),",",""))/SalesData[[#This Row],[Quantity]],0)</f>
        <v>41.665714285714287</v>
      </c>
      <c r="Z103">
        <f>YEAR(SalesData[[#This Row],[Order Date]])</f>
        <v>2022</v>
      </c>
      <c r="AA103" t="str">
        <f>TEXT(SalesData[[#This Row],[Order Date]],"mmm")</f>
        <v>Jul</v>
      </c>
      <c r="AB10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04" spans="1:28">
      <c r="A104">
        <v>85</v>
      </c>
      <c r="B104" t="s">
        <v>742</v>
      </c>
      <c r="C104" s="1">
        <v>44769</v>
      </c>
      <c r="D104" s="1">
        <v>44772</v>
      </c>
      <c r="E104" t="s">
        <v>36</v>
      </c>
      <c r="F104" t="s">
        <v>743</v>
      </c>
      <c r="G104" t="s">
        <v>329</v>
      </c>
      <c r="H104" t="s">
        <v>39</v>
      </c>
      <c r="I104" t="s">
        <v>26</v>
      </c>
      <c r="J104" t="s">
        <v>81</v>
      </c>
      <c r="K104" t="s">
        <v>81</v>
      </c>
      <c r="L104">
        <v>41890</v>
      </c>
      <c r="M104" t="s">
        <v>62</v>
      </c>
      <c r="N104" t="s">
        <v>744</v>
      </c>
      <c r="O104" t="s">
        <v>64</v>
      </c>
      <c r="P104" t="s">
        <v>405</v>
      </c>
      <c r="Q104" t="s">
        <v>745</v>
      </c>
      <c r="R104" t="s">
        <v>746</v>
      </c>
      <c r="S104">
        <v>4</v>
      </c>
      <c r="T104" s="2">
        <v>0</v>
      </c>
      <c r="U104" t="s">
        <v>747</v>
      </c>
      <c r="V104" t="str">
        <f>CHOOSE(MOD(SalesData[[#This Row],[Row ID]]-1,8)+1,"Aarav Sharma","Ananya Singh","Rohan Verma","Priya Gupta","Arjun Mehta","Neha Kapoor","Rahul Joshi","Sneha Patel")</f>
        <v>Arjun Mehta</v>
      </c>
      <c r="W10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04" s="8">
        <f>IFERROR(VALUE(SUBSTITUTE(SUBSTITUTE(SalesData[[#This Row],[Profit]],"$",""),",",""))/VALUE(SUBSTITUTE(SUBSTITUTE(SalesData[[#This Row],[Sales]],"$",""),",","")),0)</f>
        <v>0.26429172421457031</v>
      </c>
      <c r="Y104" s="6">
        <f>IFERROR(VALUE(SUBSTITUTE(SUBSTITUTE(SalesData[[#This Row],[Sales]],"$",""),",",""))/SalesData[[#This Row],[Quantity]],0)</f>
        <v>157.47749999999999</v>
      </c>
      <c r="Z104">
        <f>YEAR(SalesData[[#This Row],[Order Date]])</f>
        <v>2022</v>
      </c>
      <c r="AA104" t="str">
        <f>TEXT(SalesData[[#This Row],[Order Date]],"mmm")</f>
        <v>Jul</v>
      </c>
      <c r="AB10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05" spans="1:28">
      <c r="A105">
        <v>141</v>
      </c>
      <c r="B105" t="s">
        <v>748</v>
      </c>
      <c r="C105" s="1">
        <v>44771</v>
      </c>
      <c r="D105" s="1">
        <v>44775</v>
      </c>
      <c r="E105" t="s">
        <v>36</v>
      </c>
      <c r="F105" t="s">
        <v>749</v>
      </c>
      <c r="G105" t="s">
        <v>750</v>
      </c>
      <c r="H105" t="s">
        <v>25</v>
      </c>
      <c r="I105" t="s">
        <v>26</v>
      </c>
      <c r="J105" t="s">
        <v>641</v>
      </c>
      <c r="K105" t="s">
        <v>641</v>
      </c>
      <c r="L105">
        <v>79785</v>
      </c>
      <c r="M105" t="s">
        <v>62</v>
      </c>
      <c r="N105" t="s">
        <v>751</v>
      </c>
      <c r="O105" t="s">
        <v>43</v>
      </c>
      <c r="P105" t="s">
        <v>166</v>
      </c>
      <c r="Q105" t="s">
        <v>752</v>
      </c>
      <c r="R105" t="s">
        <v>753</v>
      </c>
      <c r="S105">
        <v>6</v>
      </c>
      <c r="T105" s="2">
        <v>0.1</v>
      </c>
      <c r="U105" t="s">
        <v>754</v>
      </c>
      <c r="V105" t="str">
        <f>CHOOSE(MOD(SalesData[[#This Row],[Row ID]]-1,8)+1,"Aarav Sharma","Ananya Singh","Rohan Verma","Priya Gupta","Arjun Mehta","Neha Kapoor","Rahul Joshi","Sneha Patel")</f>
        <v>Arjun Mehta</v>
      </c>
      <c r="W10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05" s="8">
        <f>IFERROR(VALUE(SUBSTITUTE(SUBSTITUTE(SalesData[[#This Row],[Profit]],"$",""),",",""))/VALUE(SUBSTITUTE(SUBSTITUTE(SalesData[[#This Row],[Sales]],"$",""),",","")),0)</f>
        <v>0.13584243895858628</v>
      </c>
      <c r="Y105" s="6">
        <f>IFERROR(VALUE(SUBSTITUTE(SUBSTITUTE(SalesData[[#This Row],[Sales]],"$",""),",",""))/SalesData[[#This Row],[Quantity]],0)</f>
        <v>12.354999999999999</v>
      </c>
      <c r="Z105">
        <f>YEAR(SalesData[[#This Row],[Order Date]])</f>
        <v>2022</v>
      </c>
      <c r="AA105" t="str">
        <f>TEXT(SalesData[[#This Row],[Order Date]],"mmm")</f>
        <v>Jul</v>
      </c>
      <c r="AB10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06" spans="1:28">
      <c r="A106">
        <v>326</v>
      </c>
      <c r="B106" t="s">
        <v>755</v>
      </c>
      <c r="C106" s="1">
        <v>44773</v>
      </c>
      <c r="D106" s="1">
        <v>44775</v>
      </c>
      <c r="E106" t="s">
        <v>22</v>
      </c>
      <c r="F106" t="s">
        <v>756</v>
      </c>
      <c r="G106" t="s">
        <v>757</v>
      </c>
      <c r="H106" t="s">
        <v>25</v>
      </c>
      <c r="I106" t="s">
        <v>26</v>
      </c>
      <c r="J106" t="s">
        <v>204</v>
      </c>
      <c r="K106" t="s">
        <v>204</v>
      </c>
      <c r="L106">
        <v>87909</v>
      </c>
      <c r="M106" t="s">
        <v>28</v>
      </c>
      <c r="N106" t="s">
        <v>758</v>
      </c>
      <c r="O106" t="s">
        <v>30</v>
      </c>
      <c r="P106" t="s">
        <v>120</v>
      </c>
      <c r="Q106" t="s">
        <v>759</v>
      </c>
      <c r="R106" t="s">
        <v>760</v>
      </c>
      <c r="S106">
        <v>5</v>
      </c>
      <c r="T106" s="2">
        <v>0</v>
      </c>
      <c r="U106" t="s">
        <v>761</v>
      </c>
      <c r="V106" t="str">
        <f>CHOOSE(MOD(SalesData[[#This Row],[Row ID]]-1,8)+1,"Aarav Sharma","Ananya Singh","Rohan Verma","Priya Gupta","Arjun Mehta","Neha Kapoor","Rahul Joshi","Sneha Patel")</f>
        <v>Neha Kapoor</v>
      </c>
      <c r="W10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06" s="8">
        <f>IFERROR(VALUE(SUBSTITUTE(SUBSTITUTE(SalesData[[#This Row],[Profit]],"$",""),",",""))/VALUE(SUBSTITUTE(SUBSTITUTE(SalesData[[#This Row],[Sales]],"$",""),",","")),0)</f>
        <v>8.6793797896988059E-2</v>
      </c>
      <c r="Y106" s="6">
        <f>IFERROR(VALUE(SUBSTITUTE(SUBSTITUTE(SalesData[[#This Row],[Sales]],"$",""),",",""))/SalesData[[#This Row],[Quantity]],0)</f>
        <v>11.222</v>
      </c>
      <c r="Z106">
        <f>YEAR(SalesData[[#This Row],[Order Date]])</f>
        <v>2022</v>
      </c>
      <c r="AA106" t="str">
        <f>TEXT(SalesData[[#This Row],[Order Date]],"mmm")</f>
        <v>Jul</v>
      </c>
      <c r="AB10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07" spans="1:28">
      <c r="A107">
        <v>113</v>
      </c>
      <c r="B107" t="s">
        <v>762</v>
      </c>
      <c r="C107" s="1">
        <v>44774</v>
      </c>
      <c r="D107" s="1">
        <v>44778</v>
      </c>
      <c r="E107" t="s">
        <v>36</v>
      </c>
      <c r="F107" t="s">
        <v>763</v>
      </c>
      <c r="G107" t="s">
        <v>244</v>
      </c>
      <c r="H107" t="s">
        <v>25</v>
      </c>
      <c r="I107" t="s">
        <v>26</v>
      </c>
      <c r="J107" t="s">
        <v>173</v>
      </c>
      <c r="K107" t="s">
        <v>173</v>
      </c>
      <c r="L107">
        <v>47487</v>
      </c>
      <c r="M107" t="s">
        <v>73</v>
      </c>
      <c r="N107" t="s">
        <v>764</v>
      </c>
      <c r="O107" t="s">
        <v>64</v>
      </c>
      <c r="P107" t="s">
        <v>136</v>
      </c>
      <c r="Q107" t="s">
        <v>765</v>
      </c>
      <c r="R107" t="s">
        <v>766</v>
      </c>
      <c r="S107">
        <v>4</v>
      </c>
      <c r="T107" s="2">
        <v>0.1</v>
      </c>
      <c r="U107" t="s">
        <v>767</v>
      </c>
      <c r="V107" t="str">
        <f>CHOOSE(MOD(SalesData[[#This Row],[Row ID]]-1,8)+1,"Aarav Sharma","Ananya Singh","Rohan Verma","Priya Gupta","Arjun Mehta","Neha Kapoor","Rahul Joshi","Sneha Patel")</f>
        <v>Aarav Sharma</v>
      </c>
      <c r="W10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07" s="8">
        <f>IFERROR(VALUE(SUBSTITUTE(SUBSTITUTE(SalesData[[#This Row],[Profit]],"$",""),",",""))/VALUE(SUBSTITUTE(SUBSTITUTE(SalesData[[#This Row],[Sales]],"$",""),",","")),0)</f>
        <v>0.17623430962343095</v>
      </c>
      <c r="Y107" s="6">
        <f>IFERROR(VALUE(SUBSTITUTE(SUBSTITUTE(SalesData[[#This Row],[Sales]],"$",""),",",""))/SalesData[[#This Row],[Quantity]],0)</f>
        <v>59.75</v>
      </c>
      <c r="Z107">
        <f>YEAR(SalesData[[#This Row],[Order Date]])</f>
        <v>2022</v>
      </c>
      <c r="AA107" t="str">
        <f>TEXT(SalesData[[#This Row],[Order Date]],"mmm")</f>
        <v>Aug</v>
      </c>
      <c r="AB10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08" spans="1:28">
      <c r="A108">
        <v>196</v>
      </c>
      <c r="B108" t="s">
        <v>768</v>
      </c>
      <c r="C108" s="1">
        <v>44776</v>
      </c>
      <c r="D108" s="1">
        <v>44779</v>
      </c>
      <c r="E108" t="s">
        <v>36</v>
      </c>
      <c r="F108" t="s">
        <v>769</v>
      </c>
      <c r="G108" t="s">
        <v>384</v>
      </c>
      <c r="H108" t="s">
        <v>25</v>
      </c>
      <c r="I108" t="s">
        <v>26</v>
      </c>
      <c r="J108" t="s">
        <v>81</v>
      </c>
      <c r="K108" t="s">
        <v>81</v>
      </c>
      <c r="L108">
        <v>24256</v>
      </c>
      <c r="M108" t="s">
        <v>62</v>
      </c>
      <c r="N108" t="s">
        <v>770</v>
      </c>
      <c r="O108" t="s">
        <v>43</v>
      </c>
      <c r="P108" t="s">
        <v>83</v>
      </c>
      <c r="Q108" t="s">
        <v>84</v>
      </c>
      <c r="R108" t="s">
        <v>771</v>
      </c>
      <c r="S108">
        <v>2</v>
      </c>
      <c r="T108" s="2">
        <v>0.15</v>
      </c>
      <c r="U108" t="s">
        <v>772</v>
      </c>
      <c r="V108" t="str">
        <f>CHOOSE(MOD(SalesData[[#This Row],[Row ID]]-1,8)+1,"Aarav Sharma","Ananya Singh","Rohan Verma","Priya Gupta","Arjun Mehta","Neha Kapoor","Rahul Joshi","Sneha Patel")</f>
        <v>Priya Gupta</v>
      </c>
      <c r="W10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08" s="8">
        <f>IFERROR(VALUE(SUBSTITUTE(SUBSTITUTE(SalesData[[#This Row],[Profit]],"$",""),",",""))/VALUE(SUBSTITUTE(SUBSTITUTE(SalesData[[#This Row],[Sales]],"$",""),",","")),0)</f>
        <v>0.1399378054198134</v>
      </c>
      <c r="Y108" s="6">
        <f>IFERROR(VALUE(SUBSTITUTE(SUBSTITUTE(SalesData[[#This Row],[Sales]],"$",""),",",""))/SalesData[[#This Row],[Quantity]],0)</f>
        <v>45.02</v>
      </c>
      <c r="Z108">
        <f>YEAR(SalesData[[#This Row],[Order Date]])</f>
        <v>2022</v>
      </c>
      <c r="AA108" t="str">
        <f>TEXT(SalesData[[#This Row],[Order Date]],"mmm")</f>
        <v>Aug</v>
      </c>
      <c r="AB10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09" spans="1:28">
      <c r="A109">
        <v>567</v>
      </c>
      <c r="B109" t="s">
        <v>773</v>
      </c>
      <c r="C109" s="1">
        <v>44777</v>
      </c>
      <c r="D109" s="1">
        <v>44778</v>
      </c>
      <c r="E109" t="s">
        <v>36</v>
      </c>
      <c r="F109" t="s">
        <v>774</v>
      </c>
      <c r="G109" t="s">
        <v>775</v>
      </c>
      <c r="H109" t="s">
        <v>39</v>
      </c>
      <c r="I109" t="s">
        <v>26</v>
      </c>
      <c r="J109" t="s">
        <v>61</v>
      </c>
      <c r="K109" t="s">
        <v>61</v>
      </c>
      <c r="L109">
        <v>11949</v>
      </c>
      <c r="M109" t="s">
        <v>62</v>
      </c>
      <c r="N109" t="s">
        <v>776</v>
      </c>
      <c r="O109" t="s">
        <v>30</v>
      </c>
      <c r="P109" t="s">
        <v>120</v>
      </c>
      <c r="Q109" t="s">
        <v>777</v>
      </c>
      <c r="R109" t="s">
        <v>778</v>
      </c>
      <c r="S109">
        <v>3</v>
      </c>
      <c r="T109" s="2">
        <v>0.1</v>
      </c>
      <c r="U109" t="s">
        <v>779</v>
      </c>
      <c r="V109" t="str">
        <f>CHOOSE(MOD(SalesData[[#This Row],[Row ID]]-1,8)+1,"Aarav Sharma","Ananya Singh","Rohan Verma","Priya Gupta","Arjun Mehta","Neha Kapoor","Rahul Joshi","Sneha Patel")</f>
        <v>Rahul Joshi</v>
      </c>
      <c r="W10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09" s="8">
        <f>IFERROR(VALUE(SUBSTITUTE(SUBSTITUTE(SalesData[[#This Row],[Profit]],"$",""),",",""))/VALUE(SUBSTITUTE(SUBSTITUTE(SalesData[[#This Row],[Sales]],"$",""),",","")),0)</f>
        <v>0.10436432637571159</v>
      </c>
      <c r="Y109" s="6">
        <f>IFERROR(VALUE(SUBSTITUTE(SUBSTITUTE(SalesData[[#This Row],[Sales]],"$",""),",",""))/SalesData[[#This Row],[Quantity]],0)</f>
        <v>7.0266666666666664</v>
      </c>
      <c r="Z109">
        <f>YEAR(SalesData[[#This Row],[Order Date]])</f>
        <v>2022</v>
      </c>
      <c r="AA109" t="str">
        <f>TEXT(SalesData[[#This Row],[Order Date]],"mmm")</f>
        <v>Aug</v>
      </c>
      <c r="AB10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10" spans="1:28">
      <c r="A110">
        <v>410</v>
      </c>
      <c r="B110" t="s">
        <v>780</v>
      </c>
      <c r="C110" s="1">
        <v>44779</v>
      </c>
      <c r="D110" s="1">
        <v>44781</v>
      </c>
      <c r="E110" t="s">
        <v>22</v>
      </c>
      <c r="F110" t="s">
        <v>781</v>
      </c>
      <c r="G110" t="s">
        <v>211</v>
      </c>
      <c r="H110" t="s">
        <v>39</v>
      </c>
      <c r="I110" t="s">
        <v>26</v>
      </c>
      <c r="J110" t="s">
        <v>27</v>
      </c>
      <c r="K110" t="s">
        <v>27</v>
      </c>
      <c r="L110">
        <v>44268</v>
      </c>
      <c r="M110" t="s">
        <v>28</v>
      </c>
      <c r="N110" t="s">
        <v>782</v>
      </c>
      <c r="O110" t="s">
        <v>30</v>
      </c>
      <c r="P110" t="s">
        <v>120</v>
      </c>
      <c r="Q110" t="s">
        <v>783</v>
      </c>
      <c r="R110" t="s">
        <v>784</v>
      </c>
      <c r="S110">
        <v>3</v>
      </c>
      <c r="T110" s="2">
        <v>0.3</v>
      </c>
      <c r="U110" t="s">
        <v>785</v>
      </c>
      <c r="V110" t="str">
        <f>CHOOSE(MOD(SalesData[[#This Row],[Row ID]]-1,8)+1,"Aarav Sharma","Ananya Singh","Rohan Verma","Priya Gupta","Arjun Mehta","Neha Kapoor","Rahul Joshi","Sneha Patel")</f>
        <v>Ananya Singh</v>
      </c>
      <c r="W11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10" s="8">
        <f>IFERROR(VALUE(SUBSTITUTE(SUBSTITUTE(SalesData[[#This Row],[Profit]],"$",""),",",""))/VALUE(SUBSTITUTE(SUBSTITUTE(SalesData[[#This Row],[Sales]],"$",""),",","")),0)</f>
        <v>-0.12734872611464967</v>
      </c>
      <c r="Y110" s="6">
        <f>IFERROR(VALUE(SUBSTITUTE(SUBSTITUTE(SalesData[[#This Row],[Sales]],"$",""),",",""))/SalesData[[#This Row],[Quantity]],0)</f>
        <v>83.733333333333334</v>
      </c>
      <c r="Z110">
        <f>YEAR(SalesData[[#This Row],[Order Date]])</f>
        <v>2022</v>
      </c>
      <c r="AA110" t="str">
        <f>TEXT(SalesData[[#This Row],[Order Date]],"mmm")</f>
        <v>Aug</v>
      </c>
      <c r="AB11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11" spans="1:28">
      <c r="A111">
        <v>343</v>
      </c>
      <c r="B111" t="s">
        <v>786</v>
      </c>
      <c r="C111" s="1">
        <v>44780</v>
      </c>
      <c r="D111" s="1">
        <v>44783</v>
      </c>
      <c r="E111" t="s">
        <v>36</v>
      </c>
      <c r="F111" t="s">
        <v>787</v>
      </c>
      <c r="G111" t="s">
        <v>683</v>
      </c>
      <c r="H111" t="s">
        <v>25</v>
      </c>
      <c r="I111" t="s">
        <v>26</v>
      </c>
      <c r="J111" t="s">
        <v>52</v>
      </c>
      <c r="K111" t="s">
        <v>52</v>
      </c>
      <c r="L111">
        <v>68560</v>
      </c>
      <c r="M111" t="s">
        <v>41</v>
      </c>
      <c r="N111" t="s">
        <v>788</v>
      </c>
      <c r="O111" t="s">
        <v>30</v>
      </c>
      <c r="P111" t="s">
        <v>197</v>
      </c>
      <c r="Q111" t="s">
        <v>789</v>
      </c>
      <c r="R111" t="s">
        <v>790</v>
      </c>
      <c r="S111">
        <v>5</v>
      </c>
      <c r="T111" s="2">
        <v>0.15</v>
      </c>
      <c r="U111" t="s">
        <v>791</v>
      </c>
      <c r="V111" t="str">
        <f>CHOOSE(MOD(SalesData[[#This Row],[Row ID]]-1,8)+1,"Aarav Sharma","Ananya Singh","Rohan Verma","Priya Gupta","Arjun Mehta","Neha Kapoor","Rahul Joshi","Sneha Patel")</f>
        <v>Rahul Joshi</v>
      </c>
      <c r="W11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11" s="8">
        <f>IFERROR(VALUE(SUBSTITUTE(SUBSTITUTE(SalesData[[#This Row],[Profit]],"$",""),",",""))/VALUE(SUBSTITUTE(SUBSTITUTE(SalesData[[#This Row],[Sales]],"$",""),",","")),0)</f>
        <v>-1.1802891708468575E-2</v>
      </c>
      <c r="Y111" s="6">
        <f>IFERROR(VALUE(SUBSTITUTE(SUBSTITUTE(SalesData[[#This Row],[Sales]],"$",""),",",""))/SalesData[[#This Row],[Quantity]],0)</f>
        <v>20.334</v>
      </c>
      <c r="Z111">
        <f>YEAR(SalesData[[#This Row],[Order Date]])</f>
        <v>2022</v>
      </c>
      <c r="AA111" t="str">
        <f>TEXT(SalesData[[#This Row],[Order Date]],"mmm")</f>
        <v>Aug</v>
      </c>
      <c r="AB11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12" spans="1:28">
      <c r="A112">
        <v>292</v>
      </c>
      <c r="B112" t="s">
        <v>792</v>
      </c>
      <c r="C112" s="1">
        <v>44782</v>
      </c>
      <c r="D112" s="1">
        <v>44786</v>
      </c>
      <c r="E112" t="s">
        <v>36</v>
      </c>
      <c r="F112" t="s">
        <v>793</v>
      </c>
      <c r="G112" t="s">
        <v>794</v>
      </c>
      <c r="H112" t="s">
        <v>60</v>
      </c>
      <c r="I112" t="s">
        <v>26</v>
      </c>
      <c r="J112" t="s">
        <v>260</v>
      </c>
      <c r="K112" t="s">
        <v>260</v>
      </c>
      <c r="L112">
        <v>81289</v>
      </c>
      <c r="M112" t="s">
        <v>41</v>
      </c>
      <c r="N112" t="s">
        <v>795</v>
      </c>
      <c r="O112" t="s">
        <v>43</v>
      </c>
      <c r="P112" t="s">
        <v>189</v>
      </c>
      <c r="Q112" t="s">
        <v>440</v>
      </c>
      <c r="R112" t="s">
        <v>796</v>
      </c>
      <c r="S112">
        <v>2</v>
      </c>
      <c r="T112" s="2">
        <v>0.1</v>
      </c>
      <c r="U112" t="s">
        <v>797</v>
      </c>
      <c r="V112" t="str">
        <f>CHOOSE(MOD(SalesData[[#This Row],[Row ID]]-1,8)+1,"Aarav Sharma","Ananya Singh","Rohan Verma","Priya Gupta","Arjun Mehta","Neha Kapoor","Rahul Joshi","Sneha Patel")</f>
        <v>Priya Gupta</v>
      </c>
      <c r="W11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12" s="8">
        <f>IFERROR(VALUE(SUBSTITUTE(SUBSTITUTE(SalesData[[#This Row],[Profit]],"$",""),",",""))/VALUE(SUBSTITUTE(SUBSTITUTE(SalesData[[#This Row],[Sales]],"$",""),",","")),0)</f>
        <v>0.11182657222579952</v>
      </c>
      <c r="Y112" s="6">
        <f>IFERROR(VALUE(SUBSTITUTE(SUBSTITUTE(SalesData[[#This Row],[Sales]],"$",""),",",""))/SalesData[[#This Row],[Quantity]],0)</f>
        <v>23.295000000000002</v>
      </c>
      <c r="Z112">
        <f>YEAR(SalesData[[#This Row],[Order Date]])</f>
        <v>2022</v>
      </c>
      <c r="AA112" t="str">
        <f>TEXT(SalesData[[#This Row],[Order Date]],"mmm")</f>
        <v>Aug</v>
      </c>
      <c r="AB11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13" spans="1:28">
      <c r="A113">
        <v>260</v>
      </c>
      <c r="B113" t="s">
        <v>798</v>
      </c>
      <c r="C113" s="1">
        <v>44782</v>
      </c>
      <c r="D113" s="1">
        <v>44785</v>
      </c>
      <c r="E113" t="s">
        <v>36</v>
      </c>
      <c r="F113" t="s">
        <v>799</v>
      </c>
      <c r="G113" t="s">
        <v>24</v>
      </c>
      <c r="H113" t="s">
        <v>25</v>
      </c>
      <c r="I113" t="s">
        <v>26</v>
      </c>
      <c r="J113" t="s">
        <v>27</v>
      </c>
      <c r="K113" t="s">
        <v>27</v>
      </c>
      <c r="L113">
        <v>13748</v>
      </c>
      <c r="M113" t="s">
        <v>28</v>
      </c>
      <c r="N113" t="s">
        <v>800</v>
      </c>
      <c r="O113" t="s">
        <v>64</v>
      </c>
      <c r="P113" t="s">
        <v>105</v>
      </c>
      <c r="Q113" t="s">
        <v>269</v>
      </c>
      <c r="R113" t="s">
        <v>801</v>
      </c>
      <c r="S113">
        <v>1</v>
      </c>
      <c r="T113" s="2">
        <v>0</v>
      </c>
      <c r="U113" t="s">
        <v>802</v>
      </c>
      <c r="V113" t="str">
        <f>CHOOSE(MOD(SalesData[[#This Row],[Row ID]]-1,8)+1,"Aarav Sharma","Ananya Singh","Rohan Verma","Priya Gupta","Arjun Mehta","Neha Kapoor","Rahul Joshi","Sneha Patel")</f>
        <v>Priya Gupta</v>
      </c>
      <c r="W11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13" s="8">
        <f>IFERROR(VALUE(SUBSTITUTE(SUBSTITUTE(SalesData[[#This Row],[Profit]],"$",""),",",""))/VALUE(SUBSTITUTE(SUBSTITUTE(SalesData[[#This Row],[Sales]],"$",""),",","")),0)</f>
        <v>0.22205255455875805</v>
      </c>
      <c r="Y113" s="6">
        <f>IFERROR(VALUE(SUBSTITUTE(SUBSTITUTE(SalesData[[#This Row],[Sales]],"$",""),",",""))/SalesData[[#This Row],[Quantity]],0)</f>
        <v>157.16999999999999</v>
      </c>
      <c r="Z113">
        <f>YEAR(SalesData[[#This Row],[Order Date]])</f>
        <v>2022</v>
      </c>
      <c r="AA113" t="str">
        <f>TEXT(SalesData[[#This Row],[Order Date]],"mmm")</f>
        <v>Aug</v>
      </c>
      <c r="AB11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14" spans="1:28">
      <c r="A114">
        <v>437</v>
      </c>
      <c r="B114" t="s">
        <v>803</v>
      </c>
      <c r="C114" s="1">
        <v>44786</v>
      </c>
      <c r="D114" s="1">
        <v>44788</v>
      </c>
      <c r="E114" t="s">
        <v>22</v>
      </c>
      <c r="F114" t="s">
        <v>804</v>
      </c>
      <c r="G114" t="s">
        <v>252</v>
      </c>
      <c r="H114" t="s">
        <v>39</v>
      </c>
      <c r="I114" t="s">
        <v>26</v>
      </c>
      <c r="J114" t="s">
        <v>641</v>
      </c>
      <c r="K114" t="s">
        <v>641</v>
      </c>
      <c r="L114">
        <v>47289</v>
      </c>
      <c r="M114" t="s">
        <v>62</v>
      </c>
      <c r="N114" t="s">
        <v>805</v>
      </c>
      <c r="O114" t="s">
        <v>30</v>
      </c>
      <c r="P114" t="s">
        <v>197</v>
      </c>
      <c r="Q114" t="s">
        <v>806</v>
      </c>
      <c r="R114" t="s">
        <v>807</v>
      </c>
      <c r="S114">
        <v>7</v>
      </c>
      <c r="T114" s="2">
        <v>0.1</v>
      </c>
      <c r="U114" t="s">
        <v>808</v>
      </c>
      <c r="V114" t="str">
        <f>CHOOSE(MOD(SalesData[[#This Row],[Row ID]]-1,8)+1,"Aarav Sharma","Ananya Singh","Rohan Verma","Priya Gupta","Arjun Mehta","Neha Kapoor","Rahul Joshi","Sneha Patel")</f>
        <v>Arjun Mehta</v>
      </c>
      <c r="W11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14" s="8">
        <f>IFERROR(VALUE(SUBSTITUTE(SUBSTITUTE(SalesData[[#This Row],[Profit]],"$",""),",",""))/VALUE(SUBSTITUTE(SUBSTITUTE(SalesData[[#This Row],[Sales]],"$",""),",","")),0)</f>
        <v>0.10440170149805807</v>
      </c>
      <c r="Y114" s="6">
        <f>IFERROR(VALUE(SUBSTITUTE(SUBSTITUTE(SalesData[[#This Row],[Sales]],"$",""),",",""))/SalesData[[#This Row],[Quantity]],0)</f>
        <v>15.448571428571428</v>
      </c>
      <c r="Z114">
        <f>YEAR(SalesData[[#This Row],[Order Date]])</f>
        <v>2022</v>
      </c>
      <c r="AA114" t="str">
        <f>TEXT(SalesData[[#This Row],[Order Date]],"mmm")</f>
        <v>Aug</v>
      </c>
      <c r="AB11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15" spans="1:28">
      <c r="A115">
        <v>314</v>
      </c>
      <c r="B115" t="s">
        <v>809</v>
      </c>
      <c r="C115" s="1">
        <v>44787</v>
      </c>
      <c r="D115" s="1">
        <v>44791</v>
      </c>
      <c r="E115" t="s">
        <v>382</v>
      </c>
      <c r="F115" t="s">
        <v>810</v>
      </c>
      <c r="G115" t="s">
        <v>71</v>
      </c>
      <c r="H115" t="s">
        <v>25</v>
      </c>
      <c r="I115" t="s">
        <v>26</v>
      </c>
      <c r="J115" t="s">
        <v>229</v>
      </c>
      <c r="K115" t="s">
        <v>229</v>
      </c>
      <c r="L115">
        <v>79101</v>
      </c>
      <c r="M115" t="s">
        <v>73</v>
      </c>
      <c r="N115" t="s">
        <v>811</v>
      </c>
      <c r="O115" t="s">
        <v>43</v>
      </c>
      <c r="P115" t="s">
        <v>214</v>
      </c>
      <c r="Q115" t="s">
        <v>812</v>
      </c>
      <c r="R115" t="s">
        <v>813</v>
      </c>
      <c r="S115">
        <v>7</v>
      </c>
      <c r="T115" s="2">
        <v>0.3</v>
      </c>
      <c r="U115" t="s">
        <v>565</v>
      </c>
      <c r="V115" t="str">
        <f>CHOOSE(MOD(SalesData[[#This Row],[Row ID]]-1,8)+1,"Aarav Sharma","Ananya Singh","Rohan Verma","Priya Gupta","Arjun Mehta","Neha Kapoor","Rahul Joshi","Sneha Patel")</f>
        <v>Ananya Singh</v>
      </c>
      <c r="W11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15" s="8">
        <f>IFERROR(VALUE(SUBSTITUTE(SUBSTITUTE(SalesData[[#This Row],[Profit]],"$",""),",",""))/VALUE(SUBSTITUTE(SUBSTITUTE(SalesData[[#This Row],[Sales]],"$",""),",","")),0)</f>
        <v>2.4826789838337183E-2</v>
      </c>
      <c r="Y115" s="6">
        <f>IFERROR(VALUE(SUBSTITUTE(SUBSTITUTE(SalesData[[#This Row],[Sales]],"$",""),",",""))/SalesData[[#This Row],[Quantity]],0)</f>
        <v>14.845714285714285</v>
      </c>
      <c r="Z115">
        <f>YEAR(SalesData[[#This Row],[Order Date]])</f>
        <v>2022</v>
      </c>
      <c r="AA115" t="str">
        <f>TEXT(SalesData[[#This Row],[Order Date]],"mmm")</f>
        <v>Aug</v>
      </c>
      <c r="AB11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16" spans="1:28">
      <c r="A116">
        <v>306</v>
      </c>
      <c r="B116" t="s">
        <v>814</v>
      </c>
      <c r="C116" s="1">
        <v>44789</v>
      </c>
      <c r="D116" s="1">
        <v>44794</v>
      </c>
      <c r="E116" t="s">
        <v>36</v>
      </c>
      <c r="F116" t="s">
        <v>815</v>
      </c>
      <c r="G116" t="s">
        <v>816</v>
      </c>
      <c r="H116" t="s">
        <v>39</v>
      </c>
      <c r="I116" t="s">
        <v>26</v>
      </c>
      <c r="J116" t="s">
        <v>61</v>
      </c>
      <c r="K116" t="s">
        <v>61</v>
      </c>
      <c r="L116">
        <v>98721</v>
      </c>
      <c r="M116" t="s">
        <v>62</v>
      </c>
      <c r="N116" t="s">
        <v>817</v>
      </c>
      <c r="O116" t="s">
        <v>30</v>
      </c>
      <c r="P116" t="s">
        <v>222</v>
      </c>
      <c r="Q116" t="s">
        <v>818</v>
      </c>
      <c r="R116" t="s">
        <v>819</v>
      </c>
      <c r="S116">
        <v>5</v>
      </c>
      <c r="T116" s="2">
        <v>0.2</v>
      </c>
      <c r="U116" t="s">
        <v>820</v>
      </c>
      <c r="V116" t="str">
        <f>CHOOSE(MOD(SalesData[[#This Row],[Row ID]]-1,8)+1,"Aarav Sharma","Ananya Singh","Rohan Verma","Priya Gupta","Arjun Mehta","Neha Kapoor","Rahul Joshi","Sneha Patel")</f>
        <v>Ananya Singh</v>
      </c>
      <c r="W11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16" s="8">
        <f>IFERROR(VALUE(SUBSTITUTE(SUBSTITUTE(SalesData[[#This Row],[Profit]],"$",""),",",""))/VALUE(SUBSTITUTE(SUBSTITUTE(SalesData[[#This Row],[Sales]],"$",""),",","")),0)</f>
        <v>4.8296529050653163E-3</v>
      </c>
      <c r="Y116" s="6">
        <f>IFERROR(VALUE(SUBSTITUTE(SUBSTITUTE(SalesData[[#This Row],[Sales]],"$",""),",",""))/SalesData[[#This Row],[Quantity]],0)</f>
        <v>68.74199999999999</v>
      </c>
      <c r="Z116">
        <f>YEAR(SalesData[[#This Row],[Order Date]])</f>
        <v>2022</v>
      </c>
      <c r="AA116" t="str">
        <f>TEXT(SalesData[[#This Row],[Order Date]],"mmm")</f>
        <v>Aug</v>
      </c>
      <c r="AB11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17" spans="1:28">
      <c r="A117">
        <v>341</v>
      </c>
      <c r="B117" t="s">
        <v>821</v>
      </c>
      <c r="C117" s="1">
        <v>44792</v>
      </c>
      <c r="D117" s="1">
        <v>44797</v>
      </c>
      <c r="E117" t="s">
        <v>36</v>
      </c>
      <c r="F117" t="s">
        <v>822</v>
      </c>
      <c r="G117" t="s">
        <v>554</v>
      </c>
      <c r="H117" t="s">
        <v>60</v>
      </c>
      <c r="I117" t="s">
        <v>26</v>
      </c>
      <c r="J117" t="s">
        <v>61</v>
      </c>
      <c r="K117" t="s">
        <v>61</v>
      </c>
      <c r="L117">
        <v>45897</v>
      </c>
      <c r="M117" t="s">
        <v>62</v>
      </c>
      <c r="N117" t="s">
        <v>823</v>
      </c>
      <c r="O117" t="s">
        <v>30</v>
      </c>
      <c r="P117" t="s">
        <v>222</v>
      </c>
      <c r="Q117" t="s">
        <v>824</v>
      </c>
      <c r="R117" t="s">
        <v>825</v>
      </c>
      <c r="S117">
        <v>7</v>
      </c>
      <c r="T117" s="2">
        <v>0.2</v>
      </c>
      <c r="U117" t="s">
        <v>826</v>
      </c>
      <c r="V117" t="str">
        <f>CHOOSE(MOD(SalesData[[#This Row],[Row ID]]-1,8)+1,"Aarav Sharma","Ananya Singh","Rohan Verma","Priya Gupta","Arjun Mehta","Neha Kapoor","Rahul Joshi","Sneha Patel")</f>
        <v>Arjun Mehta</v>
      </c>
      <c r="W11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17" s="8">
        <f>IFERROR(VALUE(SUBSTITUTE(SUBSTITUTE(SalesData[[#This Row],[Profit]],"$",""),",",""))/VALUE(SUBSTITUTE(SUBSTITUTE(SalesData[[#This Row],[Sales]],"$",""),",","")),0)</f>
        <v>1.9868550275742237E-2</v>
      </c>
      <c r="Y117" s="6">
        <f>IFERROR(VALUE(SUBSTITUTE(SUBSTITUTE(SalesData[[#This Row],[Sales]],"$",""),",",""))/SalesData[[#This Row],[Quantity]],0)</f>
        <v>18.91</v>
      </c>
      <c r="Z117">
        <f>YEAR(SalesData[[#This Row],[Order Date]])</f>
        <v>2022</v>
      </c>
      <c r="AA117" t="str">
        <f>TEXT(SalesData[[#This Row],[Order Date]],"mmm")</f>
        <v>Aug</v>
      </c>
      <c r="AB11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18" spans="1:28">
      <c r="A118">
        <v>395</v>
      </c>
      <c r="B118" t="s">
        <v>827</v>
      </c>
      <c r="C118" s="1">
        <v>44793</v>
      </c>
      <c r="D118" s="1">
        <v>44795</v>
      </c>
      <c r="E118" t="s">
        <v>49</v>
      </c>
      <c r="F118" t="s">
        <v>828</v>
      </c>
      <c r="G118" t="s">
        <v>71</v>
      </c>
      <c r="H118" t="s">
        <v>39</v>
      </c>
      <c r="I118" t="s">
        <v>26</v>
      </c>
      <c r="J118" t="s">
        <v>157</v>
      </c>
      <c r="K118" t="s">
        <v>157</v>
      </c>
      <c r="L118">
        <v>19107</v>
      </c>
      <c r="M118" t="s">
        <v>62</v>
      </c>
      <c r="N118" t="s">
        <v>817</v>
      </c>
      <c r="O118" t="s">
        <v>30</v>
      </c>
      <c r="P118" t="s">
        <v>31</v>
      </c>
      <c r="Q118" t="s">
        <v>386</v>
      </c>
      <c r="R118" t="s">
        <v>829</v>
      </c>
      <c r="S118">
        <v>2</v>
      </c>
      <c r="T118" s="2">
        <v>0</v>
      </c>
      <c r="U118" t="s">
        <v>830</v>
      </c>
      <c r="V118" t="str">
        <f>CHOOSE(MOD(SalesData[[#This Row],[Row ID]]-1,8)+1,"Aarav Sharma","Ananya Singh","Rohan Verma","Priya Gupta","Arjun Mehta","Neha Kapoor","Rahul Joshi","Sneha Patel")</f>
        <v>Rohan Verma</v>
      </c>
      <c r="W11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18" s="8">
        <f>IFERROR(VALUE(SUBSTITUTE(SUBSTITUTE(SalesData[[#This Row],[Profit]],"$",""),",",""))/VALUE(SUBSTITUTE(SUBSTITUTE(SalesData[[#This Row],[Sales]],"$",""),",","")),0)</f>
        <v>0.17443796835970024</v>
      </c>
      <c r="Y118" s="6">
        <f>IFERROR(VALUE(SUBSTITUTE(SUBSTITUTE(SalesData[[#This Row],[Sales]],"$",""),",",""))/SalesData[[#This Row],[Quantity]],0)</f>
        <v>36.03</v>
      </c>
      <c r="Z118">
        <f>YEAR(SalesData[[#This Row],[Order Date]])</f>
        <v>2022</v>
      </c>
      <c r="AA118" t="str">
        <f>TEXT(SalesData[[#This Row],[Order Date]],"mmm")</f>
        <v>Aug</v>
      </c>
      <c r="AB11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19" spans="1:28">
      <c r="A119">
        <v>208</v>
      </c>
      <c r="B119" t="s">
        <v>831</v>
      </c>
      <c r="C119" s="1">
        <v>44796</v>
      </c>
      <c r="D119" s="1">
        <v>44800</v>
      </c>
      <c r="E119" t="s">
        <v>49</v>
      </c>
      <c r="F119" t="s">
        <v>832</v>
      </c>
      <c r="G119" t="s">
        <v>228</v>
      </c>
      <c r="H119" t="s">
        <v>39</v>
      </c>
      <c r="I119" t="s">
        <v>26</v>
      </c>
      <c r="J119" t="s">
        <v>245</v>
      </c>
      <c r="K119" t="s">
        <v>245</v>
      </c>
      <c r="L119">
        <v>54942</v>
      </c>
      <c r="M119" t="s">
        <v>41</v>
      </c>
      <c r="N119" t="s">
        <v>833</v>
      </c>
      <c r="O119" t="s">
        <v>30</v>
      </c>
      <c r="P119" t="s">
        <v>197</v>
      </c>
      <c r="Q119" t="s">
        <v>834</v>
      </c>
      <c r="R119" t="s">
        <v>835</v>
      </c>
      <c r="S119">
        <v>4</v>
      </c>
      <c r="T119" s="2">
        <v>0.1</v>
      </c>
      <c r="U119" t="s">
        <v>836</v>
      </c>
      <c r="V119" t="str">
        <f>CHOOSE(MOD(SalesData[[#This Row],[Row ID]]-1,8)+1,"Aarav Sharma","Ananya Singh","Rohan Verma","Priya Gupta","Arjun Mehta","Neha Kapoor","Rahul Joshi","Sneha Patel")</f>
        <v>Sneha Patel</v>
      </c>
      <c r="W11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19" s="8">
        <f>IFERROR(VALUE(SUBSTITUTE(SUBSTITUTE(SalesData[[#This Row],[Profit]],"$",""),",",""))/VALUE(SUBSTITUTE(SUBSTITUTE(SalesData[[#This Row],[Sales]],"$",""),",","")),0)</f>
        <v>4.712786768628846E-2</v>
      </c>
      <c r="Y119" s="6">
        <f>IFERROR(VALUE(SUBSTITUTE(SUBSTITUTE(SalesData[[#This Row],[Sales]],"$",""),",",""))/SalesData[[#This Row],[Quantity]],0)</f>
        <v>112.46</v>
      </c>
      <c r="Z119">
        <f>YEAR(SalesData[[#This Row],[Order Date]])</f>
        <v>2022</v>
      </c>
      <c r="AA119" t="str">
        <f>TEXT(SalesData[[#This Row],[Order Date]],"mmm")</f>
        <v>Aug</v>
      </c>
      <c r="AB11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20" spans="1:28">
      <c r="A120">
        <v>120</v>
      </c>
      <c r="B120" t="s">
        <v>837</v>
      </c>
      <c r="C120" s="1">
        <v>44797</v>
      </c>
      <c r="D120" s="1">
        <v>44798</v>
      </c>
      <c r="E120" t="s">
        <v>36</v>
      </c>
      <c r="F120" t="s">
        <v>838</v>
      </c>
      <c r="G120" t="s">
        <v>478</v>
      </c>
      <c r="H120" t="s">
        <v>25</v>
      </c>
      <c r="I120" t="s">
        <v>26</v>
      </c>
      <c r="J120" t="s">
        <v>212</v>
      </c>
      <c r="K120" t="s">
        <v>212</v>
      </c>
      <c r="L120">
        <v>39739</v>
      </c>
      <c r="M120" t="s">
        <v>28</v>
      </c>
      <c r="N120" t="s">
        <v>588</v>
      </c>
      <c r="O120" t="s">
        <v>43</v>
      </c>
      <c r="P120" t="s">
        <v>166</v>
      </c>
      <c r="Q120" t="s">
        <v>839</v>
      </c>
      <c r="R120" t="s">
        <v>840</v>
      </c>
      <c r="S120">
        <v>3</v>
      </c>
      <c r="T120" s="2">
        <v>0.5</v>
      </c>
      <c r="U120" t="s">
        <v>841</v>
      </c>
      <c r="V120" t="str">
        <f>CHOOSE(MOD(SalesData[[#This Row],[Row ID]]-1,8)+1,"Aarav Sharma","Ananya Singh","Rohan Verma","Priya Gupta","Arjun Mehta","Neha Kapoor","Rahul Joshi","Sneha Patel")</f>
        <v>Sneha Patel</v>
      </c>
      <c r="W12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20" s="8">
        <f>IFERROR(VALUE(SUBSTITUTE(SUBSTITUTE(SalesData[[#This Row],[Profit]],"$",""),",",""))/VALUE(SUBSTITUTE(SUBSTITUTE(SalesData[[#This Row],[Sales]],"$",""),",","")),0)</f>
        <v>-0.16382833787465939</v>
      </c>
      <c r="Y120" s="6">
        <f>IFERROR(VALUE(SUBSTITUTE(SUBSTITUTE(SalesData[[#This Row],[Sales]],"$",""),",",""))/SalesData[[#This Row],[Quantity]],0)</f>
        <v>19.573333333333334</v>
      </c>
      <c r="Z120">
        <f>YEAR(SalesData[[#This Row],[Order Date]])</f>
        <v>2022</v>
      </c>
      <c r="AA120" t="str">
        <f>TEXT(SalesData[[#This Row],[Order Date]],"mmm")</f>
        <v>Aug</v>
      </c>
      <c r="AB12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21" spans="1:28">
      <c r="A121">
        <v>18</v>
      </c>
      <c r="B121" t="s">
        <v>842</v>
      </c>
      <c r="C121" s="1">
        <v>44807</v>
      </c>
      <c r="D121" s="1">
        <v>44810</v>
      </c>
      <c r="E121" t="s">
        <v>22</v>
      </c>
      <c r="F121" t="s">
        <v>843</v>
      </c>
      <c r="G121" t="s">
        <v>844</v>
      </c>
      <c r="H121" t="s">
        <v>39</v>
      </c>
      <c r="I121" t="s">
        <v>26</v>
      </c>
      <c r="J121" t="s">
        <v>150</v>
      </c>
      <c r="K121" t="s">
        <v>150</v>
      </c>
      <c r="L121">
        <v>86429</v>
      </c>
      <c r="M121" t="s">
        <v>73</v>
      </c>
      <c r="N121" t="s">
        <v>845</v>
      </c>
      <c r="O121" t="s">
        <v>30</v>
      </c>
      <c r="P121" t="s">
        <v>197</v>
      </c>
      <c r="Q121" t="s">
        <v>846</v>
      </c>
      <c r="R121" t="s">
        <v>847</v>
      </c>
      <c r="S121">
        <v>7</v>
      </c>
      <c r="T121" s="2">
        <v>0.15</v>
      </c>
      <c r="U121" t="s">
        <v>848</v>
      </c>
      <c r="V121" t="str">
        <f>CHOOSE(MOD(SalesData[[#This Row],[Row ID]]-1,8)+1,"Aarav Sharma","Ananya Singh","Rohan Verma","Priya Gupta","Arjun Mehta","Neha Kapoor","Rahul Joshi","Sneha Patel")</f>
        <v>Ananya Singh</v>
      </c>
      <c r="W12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21" s="8">
        <f>IFERROR(VALUE(SUBSTITUTE(SUBSTITUTE(SalesData[[#This Row],[Profit]],"$",""),",",""))/VALUE(SUBSTITUTE(SUBSTITUTE(SalesData[[#This Row],[Sales]],"$",""),",","")),0)</f>
        <v>9.823540112788795E-2</v>
      </c>
      <c r="Y121" s="6">
        <f>IFERROR(VALUE(SUBSTITUTE(SUBSTITUTE(SalesData[[#This Row],[Sales]],"$",""),",",""))/SalesData[[#This Row],[Quantity]],0)</f>
        <v>7.8528571428571423</v>
      </c>
      <c r="Z121">
        <f>YEAR(SalesData[[#This Row],[Order Date]])</f>
        <v>2022</v>
      </c>
      <c r="AA121" t="str">
        <f>TEXT(SalesData[[#This Row],[Order Date]],"mmm")</f>
        <v>Sep</v>
      </c>
      <c r="AB12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22" spans="1:28">
      <c r="A122">
        <v>347</v>
      </c>
      <c r="B122" t="s">
        <v>849</v>
      </c>
      <c r="C122" s="1">
        <v>44813</v>
      </c>
      <c r="D122" s="1">
        <v>44815</v>
      </c>
      <c r="E122" t="s">
        <v>49</v>
      </c>
      <c r="F122" t="s">
        <v>850</v>
      </c>
      <c r="G122" t="s">
        <v>851</v>
      </c>
      <c r="H122" t="s">
        <v>25</v>
      </c>
      <c r="I122" t="s">
        <v>26</v>
      </c>
      <c r="J122" t="s">
        <v>212</v>
      </c>
      <c r="K122" t="s">
        <v>212</v>
      </c>
      <c r="L122">
        <v>72559</v>
      </c>
      <c r="M122" t="s">
        <v>28</v>
      </c>
      <c r="N122" t="s">
        <v>852</v>
      </c>
      <c r="O122" t="s">
        <v>43</v>
      </c>
      <c r="P122" t="s">
        <v>44</v>
      </c>
      <c r="Q122" t="s">
        <v>853</v>
      </c>
      <c r="R122" t="s">
        <v>854</v>
      </c>
      <c r="S122">
        <v>1</v>
      </c>
      <c r="T122" s="2">
        <v>0.05</v>
      </c>
      <c r="U122" t="s">
        <v>855</v>
      </c>
      <c r="V122" t="str">
        <f>CHOOSE(MOD(SalesData[[#This Row],[Row ID]]-1,8)+1,"Aarav Sharma","Ananya Singh","Rohan Verma","Priya Gupta","Arjun Mehta","Neha Kapoor","Rahul Joshi","Sneha Patel")</f>
        <v>Rohan Verma</v>
      </c>
      <c r="W12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22" s="8">
        <f>IFERROR(VALUE(SUBSTITUTE(SUBSTITUTE(SalesData[[#This Row],[Profit]],"$",""),",",""))/VALUE(SUBSTITUTE(SUBSTITUTE(SalesData[[#This Row],[Sales]],"$",""),",","")),0)</f>
        <v>0.140625</v>
      </c>
      <c r="Y122" s="6">
        <f>IFERROR(VALUE(SUBSTITUTE(SUBSTITUTE(SalesData[[#This Row],[Sales]],"$",""),",",""))/SalesData[[#This Row],[Quantity]],0)</f>
        <v>37.119999999999997</v>
      </c>
      <c r="Z122">
        <f>YEAR(SalesData[[#This Row],[Order Date]])</f>
        <v>2022</v>
      </c>
      <c r="AA122" t="str">
        <f>TEXT(SalesData[[#This Row],[Order Date]],"mmm")</f>
        <v>Sep</v>
      </c>
      <c r="AB12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23" spans="1:28">
      <c r="A123">
        <v>375</v>
      </c>
      <c r="B123" t="s">
        <v>856</v>
      </c>
      <c r="C123" s="1">
        <v>44814</v>
      </c>
      <c r="D123" s="1">
        <v>44816</v>
      </c>
      <c r="E123" t="s">
        <v>36</v>
      </c>
      <c r="F123" t="s">
        <v>857</v>
      </c>
      <c r="G123" t="s">
        <v>71</v>
      </c>
      <c r="H123" t="s">
        <v>39</v>
      </c>
      <c r="I123" t="s">
        <v>26</v>
      </c>
      <c r="J123" t="s">
        <v>363</v>
      </c>
      <c r="K123" t="s">
        <v>363</v>
      </c>
      <c r="L123">
        <v>91899</v>
      </c>
      <c r="M123" t="s">
        <v>62</v>
      </c>
      <c r="N123" t="s">
        <v>858</v>
      </c>
      <c r="O123" t="s">
        <v>43</v>
      </c>
      <c r="P123" t="s">
        <v>166</v>
      </c>
      <c r="Q123" t="s">
        <v>859</v>
      </c>
      <c r="R123" t="s">
        <v>860</v>
      </c>
      <c r="S123">
        <v>3</v>
      </c>
      <c r="T123" s="2">
        <v>0.3</v>
      </c>
      <c r="U123" t="s">
        <v>861</v>
      </c>
      <c r="V123" t="str">
        <f>CHOOSE(MOD(SalesData[[#This Row],[Row ID]]-1,8)+1,"Aarav Sharma","Ananya Singh","Rohan Verma","Priya Gupta","Arjun Mehta","Neha Kapoor","Rahul Joshi","Sneha Patel")</f>
        <v>Rahul Joshi</v>
      </c>
      <c r="W12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23" s="8">
        <f>IFERROR(VALUE(SUBSTITUTE(SUBSTITUTE(SalesData[[#This Row],[Profit]],"$",""),",",""))/VALUE(SUBSTITUTE(SUBSTITUTE(SalesData[[#This Row],[Sales]],"$",""),",","")),0)</f>
        <v>-5.2187012428041102E-3</v>
      </c>
      <c r="Y123" s="6">
        <f>IFERROR(VALUE(SUBSTITUTE(SUBSTITUTE(SalesData[[#This Row],[Sales]],"$",""),",",""))/SalesData[[#This Row],[Quantity]],0)</f>
        <v>61.956666666666671</v>
      </c>
      <c r="Z123">
        <f>YEAR(SalesData[[#This Row],[Order Date]])</f>
        <v>2022</v>
      </c>
      <c r="AA123" t="str">
        <f>TEXT(SalesData[[#This Row],[Order Date]],"mmm")</f>
        <v>Sep</v>
      </c>
      <c r="AB12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24" spans="1:28">
      <c r="A124">
        <v>586</v>
      </c>
      <c r="B124" t="s">
        <v>862</v>
      </c>
      <c r="C124" s="1">
        <v>44814</v>
      </c>
      <c r="D124" s="1">
        <v>44817</v>
      </c>
      <c r="E124" t="s">
        <v>382</v>
      </c>
      <c r="F124" t="s">
        <v>863</v>
      </c>
      <c r="G124" t="s">
        <v>683</v>
      </c>
      <c r="H124" t="s">
        <v>25</v>
      </c>
      <c r="I124" t="s">
        <v>26</v>
      </c>
      <c r="J124" t="s">
        <v>229</v>
      </c>
      <c r="K124" t="s">
        <v>229</v>
      </c>
      <c r="L124">
        <v>73146</v>
      </c>
      <c r="M124" t="s">
        <v>73</v>
      </c>
      <c r="N124" t="s">
        <v>864</v>
      </c>
      <c r="O124" t="s">
        <v>64</v>
      </c>
      <c r="P124" t="s">
        <v>105</v>
      </c>
      <c r="Q124" t="s">
        <v>331</v>
      </c>
      <c r="R124" t="s">
        <v>865</v>
      </c>
      <c r="S124">
        <v>2</v>
      </c>
      <c r="T124" s="2">
        <v>0.2</v>
      </c>
      <c r="U124" t="s">
        <v>866</v>
      </c>
      <c r="V124" t="str">
        <f>CHOOSE(MOD(SalesData[[#This Row],[Row ID]]-1,8)+1,"Aarav Sharma","Ananya Singh","Rohan Verma","Priya Gupta","Arjun Mehta","Neha Kapoor","Rahul Joshi","Sneha Patel")</f>
        <v>Ananya Singh</v>
      </c>
      <c r="W12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24" s="8">
        <f>IFERROR(VALUE(SUBSTITUTE(SUBSTITUTE(SalesData[[#This Row],[Profit]],"$",""),",",""))/VALUE(SUBSTITUTE(SUBSTITUTE(SalesData[[#This Row],[Sales]],"$",""),",","")),0)</f>
        <v>0.15136860948207917</v>
      </c>
      <c r="Y124" s="6">
        <f>IFERROR(VALUE(SUBSTITUTE(SUBSTITUTE(SalesData[[#This Row],[Sales]],"$",""),",",""))/SalesData[[#This Row],[Quantity]],0)</f>
        <v>374.28500000000003</v>
      </c>
      <c r="Z124">
        <f>YEAR(SalesData[[#This Row],[Order Date]])</f>
        <v>2022</v>
      </c>
      <c r="AA124" t="str">
        <f>TEXT(SalesData[[#This Row],[Order Date]],"mmm")</f>
        <v>Sep</v>
      </c>
      <c r="AB12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25" spans="1:28">
      <c r="A125">
        <v>524</v>
      </c>
      <c r="B125" t="s">
        <v>867</v>
      </c>
      <c r="C125" s="1">
        <v>44819</v>
      </c>
      <c r="D125" s="1">
        <v>44822</v>
      </c>
      <c r="E125" t="s">
        <v>36</v>
      </c>
      <c r="F125" t="s">
        <v>868</v>
      </c>
      <c r="G125" t="s">
        <v>869</v>
      </c>
      <c r="H125" t="s">
        <v>25</v>
      </c>
      <c r="I125" t="s">
        <v>26</v>
      </c>
      <c r="J125" t="s">
        <v>61</v>
      </c>
      <c r="K125" t="s">
        <v>61</v>
      </c>
      <c r="L125">
        <v>39317</v>
      </c>
      <c r="M125" t="s">
        <v>62</v>
      </c>
      <c r="N125" t="s">
        <v>870</v>
      </c>
      <c r="O125" t="s">
        <v>43</v>
      </c>
      <c r="P125" t="s">
        <v>189</v>
      </c>
      <c r="Q125" t="s">
        <v>871</v>
      </c>
      <c r="R125" t="s">
        <v>872</v>
      </c>
      <c r="S125">
        <v>5</v>
      </c>
      <c r="T125" s="2">
        <v>0.2</v>
      </c>
      <c r="U125" t="s">
        <v>873</v>
      </c>
      <c r="V125" t="str">
        <f>CHOOSE(MOD(SalesData[[#This Row],[Row ID]]-1,8)+1,"Aarav Sharma","Ananya Singh","Rohan Verma","Priya Gupta","Arjun Mehta","Neha Kapoor","Rahul Joshi","Sneha Patel")</f>
        <v>Priya Gupta</v>
      </c>
      <c r="W12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25" s="8">
        <f>IFERROR(VALUE(SUBSTITUTE(SUBSTITUTE(SalesData[[#This Row],[Profit]],"$",""),",",""))/VALUE(SUBSTITUTE(SUBSTITUTE(SalesData[[#This Row],[Sales]],"$",""),",","")),0)</f>
        <v>0.1591849729385546</v>
      </c>
      <c r="Y125" s="6">
        <f>IFERROR(VALUE(SUBSTITUTE(SUBSTITUTE(SalesData[[#This Row],[Sales]],"$",""),",",""))/SalesData[[#This Row],[Quantity]],0)</f>
        <v>6.282</v>
      </c>
      <c r="Z125">
        <f>YEAR(SalesData[[#This Row],[Order Date]])</f>
        <v>2022</v>
      </c>
      <c r="AA125" t="str">
        <f>TEXT(SalesData[[#This Row],[Order Date]],"mmm")</f>
        <v>Sep</v>
      </c>
      <c r="AB12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26" spans="1:28">
      <c r="A126">
        <v>355</v>
      </c>
      <c r="B126" t="s">
        <v>874</v>
      </c>
      <c r="C126" s="1">
        <v>44820</v>
      </c>
      <c r="D126" s="1">
        <v>44822</v>
      </c>
      <c r="E126" t="s">
        <v>49</v>
      </c>
      <c r="F126" t="s">
        <v>875</v>
      </c>
      <c r="G126" t="s">
        <v>876</v>
      </c>
      <c r="H126" t="s">
        <v>39</v>
      </c>
      <c r="I126" t="s">
        <v>26</v>
      </c>
      <c r="J126" t="s">
        <v>81</v>
      </c>
      <c r="K126" t="s">
        <v>81</v>
      </c>
      <c r="L126">
        <v>78321</v>
      </c>
      <c r="M126" t="s">
        <v>62</v>
      </c>
      <c r="N126" t="s">
        <v>280</v>
      </c>
      <c r="O126" t="s">
        <v>43</v>
      </c>
      <c r="P126" t="s">
        <v>44</v>
      </c>
      <c r="Q126" t="s">
        <v>877</v>
      </c>
      <c r="R126" t="s">
        <v>878</v>
      </c>
      <c r="S126">
        <v>7</v>
      </c>
      <c r="T126" s="2">
        <v>0.05</v>
      </c>
      <c r="U126" t="s">
        <v>879</v>
      </c>
      <c r="V126" t="str">
        <f>CHOOSE(MOD(SalesData[[#This Row],[Row ID]]-1,8)+1,"Aarav Sharma","Ananya Singh","Rohan Verma","Priya Gupta","Arjun Mehta","Neha Kapoor","Rahul Joshi","Sneha Patel")</f>
        <v>Rohan Verma</v>
      </c>
      <c r="W12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26" s="8">
        <f>IFERROR(VALUE(SUBSTITUTE(SUBSTITUTE(SalesData[[#This Row],[Profit]],"$",""),",",""))/VALUE(SUBSTITUTE(SUBSTITUTE(SalesData[[#This Row],[Sales]],"$",""),",","")),0)</f>
        <v>0.10902864717578614</v>
      </c>
      <c r="Y126" s="6">
        <f>IFERROR(VALUE(SUBSTITUTE(SUBSTITUTE(SalesData[[#This Row],[Sales]],"$",""),",",""))/SalesData[[#This Row],[Quantity]],0)</f>
        <v>38.797142857142852</v>
      </c>
      <c r="Z126">
        <f>YEAR(SalesData[[#This Row],[Order Date]])</f>
        <v>2022</v>
      </c>
      <c r="AA126" t="str">
        <f>TEXT(SalesData[[#This Row],[Order Date]],"mmm")</f>
        <v>Sep</v>
      </c>
      <c r="AB12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27" spans="1:28">
      <c r="A127">
        <v>318</v>
      </c>
      <c r="B127" t="s">
        <v>880</v>
      </c>
      <c r="C127" s="1">
        <v>44826</v>
      </c>
      <c r="D127" s="1">
        <v>44829</v>
      </c>
      <c r="E127" t="s">
        <v>36</v>
      </c>
      <c r="F127" t="s">
        <v>881</v>
      </c>
      <c r="G127" t="s">
        <v>882</v>
      </c>
      <c r="H127" t="s">
        <v>60</v>
      </c>
      <c r="I127" t="s">
        <v>26</v>
      </c>
      <c r="J127" t="s">
        <v>245</v>
      </c>
      <c r="K127" t="s">
        <v>245</v>
      </c>
      <c r="L127">
        <v>47040</v>
      </c>
      <c r="M127" t="s">
        <v>41</v>
      </c>
      <c r="N127" t="s">
        <v>883</v>
      </c>
      <c r="O127" t="s">
        <v>43</v>
      </c>
      <c r="P127" t="s">
        <v>44</v>
      </c>
      <c r="Q127" t="s">
        <v>317</v>
      </c>
      <c r="R127" t="s">
        <v>884</v>
      </c>
      <c r="S127">
        <v>5</v>
      </c>
      <c r="T127" s="2">
        <v>0.05</v>
      </c>
      <c r="U127" t="s">
        <v>885</v>
      </c>
      <c r="V127" t="str">
        <f>CHOOSE(MOD(SalesData[[#This Row],[Row ID]]-1,8)+1,"Aarav Sharma","Ananya Singh","Rohan Verma","Priya Gupta","Arjun Mehta","Neha Kapoor","Rahul Joshi","Sneha Patel")</f>
        <v>Neha Kapoor</v>
      </c>
      <c r="W12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27" s="8">
        <f>IFERROR(VALUE(SUBSTITUTE(SUBSTITUTE(SalesData[[#This Row],[Profit]],"$",""),",",""))/VALUE(SUBSTITUTE(SUBSTITUTE(SalesData[[#This Row],[Sales]],"$",""),",","")),0)</f>
        <v>0.17213391951301996</v>
      </c>
      <c r="Y127" s="6">
        <f>IFERROR(VALUE(SUBSTITUTE(SUBSTITUTE(SalesData[[#This Row],[Sales]],"$",""),",",""))/SalesData[[#This Row],[Quantity]],0)</f>
        <v>5.9139999999999997</v>
      </c>
      <c r="Z127">
        <f>YEAR(SalesData[[#This Row],[Order Date]])</f>
        <v>2022</v>
      </c>
      <c r="AA127" t="str">
        <f>TEXT(SalesData[[#This Row],[Order Date]],"mmm")</f>
        <v>Sep</v>
      </c>
      <c r="AB12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28" spans="1:28">
      <c r="A128">
        <v>529</v>
      </c>
      <c r="B128" t="s">
        <v>886</v>
      </c>
      <c r="C128" s="1">
        <v>44827</v>
      </c>
      <c r="D128" s="1">
        <v>44831</v>
      </c>
      <c r="E128" t="s">
        <v>49</v>
      </c>
      <c r="F128" t="s">
        <v>887</v>
      </c>
      <c r="G128" t="s">
        <v>244</v>
      </c>
      <c r="H128" t="s">
        <v>60</v>
      </c>
      <c r="I128" t="s">
        <v>26</v>
      </c>
      <c r="J128" t="s">
        <v>40</v>
      </c>
      <c r="K128" t="s">
        <v>40</v>
      </c>
      <c r="L128">
        <v>43038</v>
      </c>
      <c r="M128" t="s">
        <v>41</v>
      </c>
      <c r="N128" t="s">
        <v>499</v>
      </c>
      <c r="O128" t="s">
        <v>64</v>
      </c>
      <c r="P128" t="s">
        <v>65</v>
      </c>
      <c r="Q128" t="s">
        <v>66</v>
      </c>
      <c r="R128" t="s">
        <v>888</v>
      </c>
      <c r="S128">
        <v>5</v>
      </c>
      <c r="T128" s="2">
        <v>0.2</v>
      </c>
      <c r="U128" t="s">
        <v>889</v>
      </c>
      <c r="V128" t="str">
        <f>CHOOSE(MOD(SalesData[[#This Row],[Row ID]]-1,8)+1,"Aarav Sharma","Ananya Singh","Rohan Verma","Priya Gupta","Arjun Mehta","Neha Kapoor","Rahul Joshi","Sneha Patel")</f>
        <v>Aarav Sharma</v>
      </c>
      <c r="W12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28" s="8">
        <f>IFERROR(VALUE(SUBSTITUTE(SUBSTITUTE(SalesData[[#This Row],[Profit]],"$",""),",",""))/VALUE(SUBSTITUTE(SUBSTITUTE(SalesData[[#This Row],[Sales]],"$",""),",","")),0)</f>
        <v>7.5151647234027105E-2</v>
      </c>
      <c r="Y128" s="6">
        <f>IFERROR(VALUE(SUBSTITUTE(SUBSTITUTE(SalesData[[#This Row],[Sales]],"$",""),",",""))/SalesData[[#This Row],[Quantity]],0)</f>
        <v>55.061999999999998</v>
      </c>
      <c r="Z128">
        <f>YEAR(SalesData[[#This Row],[Order Date]])</f>
        <v>2022</v>
      </c>
      <c r="AA128" t="str">
        <f>TEXT(SalesData[[#This Row],[Order Date]],"mmm")</f>
        <v>Sep</v>
      </c>
      <c r="AB12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29" spans="1:28">
      <c r="A129">
        <v>216</v>
      </c>
      <c r="B129" t="s">
        <v>890</v>
      </c>
      <c r="C129" s="1">
        <v>44828</v>
      </c>
      <c r="D129" s="1">
        <v>44830</v>
      </c>
      <c r="E129" t="s">
        <v>36</v>
      </c>
      <c r="F129" t="s">
        <v>891</v>
      </c>
      <c r="G129" t="s">
        <v>713</v>
      </c>
      <c r="H129" t="s">
        <v>25</v>
      </c>
      <c r="I129" t="s">
        <v>26</v>
      </c>
      <c r="J129" t="s">
        <v>27</v>
      </c>
      <c r="K129" t="s">
        <v>27</v>
      </c>
      <c r="L129">
        <v>14886</v>
      </c>
      <c r="M129" t="s">
        <v>28</v>
      </c>
      <c r="N129" t="s">
        <v>892</v>
      </c>
      <c r="O129" t="s">
        <v>43</v>
      </c>
      <c r="P129" t="s">
        <v>214</v>
      </c>
      <c r="Q129" t="s">
        <v>893</v>
      </c>
      <c r="R129" t="s">
        <v>894</v>
      </c>
      <c r="S129">
        <v>3</v>
      </c>
      <c r="T129" s="2">
        <v>0.05</v>
      </c>
      <c r="U129" t="s">
        <v>895</v>
      </c>
      <c r="V129" t="str">
        <f>CHOOSE(MOD(SalesData[[#This Row],[Row ID]]-1,8)+1,"Aarav Sharma","Ananya Singh","Rohan Verma","Priya Gupta","Arjun Mehta","Neha Kapoor","Rahul Joshi","Sneha Patel")</f>
        <v>Sneha Patel</v>
      </c>
      <c r="W12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29" s="8">
        <f>IFERROR(VALUE(SUBSTITUTE(SUBSTITUTE(SalesData[[#This Row],[Profit]],"$",""),",",""))/VALUE(SUBSTITUTE(SUBSTITUTE(SalesData[[#This Row],[Sales]],"$",""),",","")),0)</f>
        <v>0.18747372845733501</v>
      </c>
      <c r="Y129" s="6">
        <f>IFERROR(VALUE(SUBSTITUTE(SUBSTITUTE(SalesData[[#This Row],[Sales]],"$",""),",",""))/SalesData[[#This Row],[Quantity]],0)</f>
        <v>15.86</v>
      </c>
      <c r="Z129">
        <f>YEAR(SalesData[[#This Row],[Order Date]])</f>
        <v>2022</v>
      </c>
      <c r="AA129" t="str">
        <f>TEXT(SalesData[[#This Row],[Order Date]],"mmm")</f>
        <v>Sep</v>
      </c>
      <c r="AB12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30" spans="1:28">
      <c r="A130">
        <v>248</v>
      </c>
      <c r="B130" t="s">
        <v>896</v>
      </c>
      <c r="C130" s="1">
        <v>44830</v>
      </c>
      <c r="D130" s="1">
        <v>44833</v>
      </c>
      <c r="E130" t="s">
        <v>22</v>
      </c>
      <c r="F130" t="s">
        <v>897</v>
      </c>
      <c r="G130" t="s">
        <v>851</v>
      </c>
      <c r="H130" t="s">
        <v>25</v>
      </c>
      <c r="I130" t="s">
        <v>26</v>
      </c>
      <c r="J130" t="s">
        <v>173</v>
      </c>
      <c r="K130" t="s">
        <v>173</v>
      </c>
      <c r="L130">
        <v>40143</v>
      </c>
      <c r="M130" t="s">
        <v>73</v>
      </c>
      <c r="N130" t="s">
        <v>898</v>
      </c>
      <c r="O130" t="s">
        <v>30</v>
      </c>
      <c r="P130" t="s">
        <v>120</v>
      </c>
      <c r="Q130" t="s">
        <v>899</v>
      </c>
      <c r="R130" t="s">
        <v>900</v>
      </c>
      <c r="S130">
        <v>2</v>
      </c>
      <c r="T130" s="2">
        <v>0</v>
      </c>
      <c r="U130" t="s">
        <v>901</v>
      </c>
      <c r="V130" t="str">
        <f>CHOOSE(MOD(SalesData[[#This Row],[Row ID]]-1,8)+1,"Aarav Sharma","Ananya Singh","Rohan Verma","Priya Gupta","Arjun Mehta","Neha Kapoor","Rahul Joshi","Sneha Patel")</f>
        <v>Sneha Patel</v>
      </c>
      <c r="W13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30" s="8">
        <f>IFERROR(VALUE(SUBSTITUTE(SUBSTITUTE(SalesData[[#This Row],[Profit]],"$",""),",",""))/VALUE(SUBSTITUTE(SUBSTITUTE(SalesData[[#This Row],[Sales]],"$",""),",","")),0)</f>
        <v>7.3016908606535091E-2</v>
      </c>
      <c r="Y130" s="6">
        <f>IFERROR(VALUE(SUBSTITUTE(SUBSTITUTE(SalesData[[#This Row],[Sales]],"$",""),",",""))/SalesData[[#This Row],[Quantity]],0)</f>
        <v>91.965000000000003</v>
      </c>
      <c r="Z130">
        <f>YEAR(SalesData[[#This Row],[Order Date]])</f>
        <v>2022</v>
      </c>
      <c r="AA130" t="str">
        <f>TEXT(SalesData[[#This Row],[Order Date]],"mmm")</f>
        <v>Sep</v>
      </c>
      <c r="AB13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31" spans="1:28">
      <c r="A131">
        <v>90</v>
      </c>
      <c r="B131" t="s">
        <v>902</v>
      </c>
      <c r="C131" s="1">
        <v>44831</v>
      </c>
      <c r="D131" s="1">
        <v>44834</v>
      </c>
      <c r="E131" t="s">
        <v>36</v>
      </c>
      <c r="F131" t="s">
        <v>903</v>
      </c>
      <c r="G131" t="s">
        <v>561</v>
      </c>
      <c r="H131" t="s">
        <v>25</v>
      </c>
      <c r="I131" t="s">
        <v>26</v>
      </c>
      <c r="J131" t="s">
        <v>72</v>
      </c>
      <c r="K131" t="s">
        <v>72</v>
      </c>
      <c r="L131">
        <v>36155</v>
      </c>
      <c r="M131" t="s">
        <v>73</v>
      </c>
      <c r="N131" t="s">
        <v>904</v>
      </c>
      <c r="O131" t="s">
        <v>43</v>
      </c>
      <c r="P131" t="s">
        <v>189</v>
      </c>
      <c r="Q131" t="s">
        <v>905</v>
      </c>
      <c r="R131" t="s">
        <v>906</v>
      </c>
      <c r="S131">
        <v>7</v>
      </c>
      <c r="T131" s="2">
        <v>0.2</v>
      </c>
      <c r="U131" t="s">
        <v>508</v>
      </c>
      <c r="V131" t="str">
        <f>CHOOSE(MOD(SalesData[[#This Row],[Row ID]]-1,8)+1,"Aarav Sharma","Ananya Singh","Rohan Verma","Priya Gupta","Arjun Mehta","Neha Kapoor","Rahul Joshi","Sneha Patel")</f>
        <v>Ananya Singh</v>
      </c>
      <c r="W13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31" s="8">
        <f>IFERROR(VALUE(SUBSTITUTE(SUBSTITUTE(SalesData[[#This Row],[Profit]],"$",""),",",""))/VALUE(SUBSTITUTE(SUBSTITUTE(SalesData[[#This Row],[Sales]],"$",""),",","")),0)</f>
        <v>2.6817947395564725E-2</v>
      </c>
      <c r="Y131" s="6">
        <f>IFERROR(VALUE(SUBSTITUTE(SUBSTITUTE(SalesData[[#This Row],[Sales]],"$",""),",",""))/SalesData[[#This Row],[Quantity]],0)</f>
        <v>2.77</v>
      </c>
      <c r="Z131">
        <f>YEAR(SalesData[[#This Row],[Order Date]])</f>
        <v>2022</v>
      </c>
      <c r="AA131" t="str">
        <f>TEXT(SalesData[[#This Row],[Order Date]],"mmm")</f>
        <v>Sep</v>
      </c>
      <c r="AB13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32" spans="1:28">
      <c r="A132">
        <v>242</v>
      </c>
      <c r="B132" t="s">
        <v>907</v>
      </c>
      <c r="C132" s="1">
        <v>44832</v>
      </c>
      <c r="D132" s="1">
        <v>44835</v>
      </c>
      <c r="E132" t="s">
        <v>22</v>
      </c>
      <c r="F132" t="s">
        <v>908</v>
      </c>
      <c r="G132" t="s">
        <v>909</v>
      </c>
      <c r="H132" t="s">
        <v>39</v>
      </c>
      <c r="I132" t="s">
        <v>26</v>
      </c>
      <c r="J132" t="s">
        <v>229</v>
      </c>
      <c r="K132" t="s">
        <v>229</v>
      </c>
      <c r="L132">
        <v>14765</v>
      </c>
      <c r="M132" t="s">
        <v>73</v>
      </c>
      <c r="N132" t="s">
        <v>910</v>
      </c>
      <c r="O132" t="s">
        <v>43</v>
      </c>
      <c r="P132" t="s">
        <v>128</v>
      </c>
      <c r="Q132" t="s">
        <v>911</v>
      </c>
      <c r="R132" t="s">
        <v>912</v>
      </c>
      <c r="S132">
        <v>7</v>
      </c>
      <c r="T132" s="2">
        <v>0.1</v>
      </c>
      <c r="U132" t="s">
        <v>913</v>
      </c>
      <c r="V132" t="str">
        <f>CHOOSE(MOD(SalesData[[#This Row],[Row ID]]-1,8)+1,"Aarav Sharma","Ananya Singh","Rohan Verma","Priya Gupta","Arjun Mehta","Neha Kapoor","Rahul Joshi","Sneha Patel")</f>
        <v>Ananya Singh</v>
      </c>
      <c r="W13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32" s="8">
        <f>IFERROR(VALUE(SUBSTITUTE(SUBSTITUTE(SalesData[[#This Row],[Profit]],"$",""),",",""))/VALUE(SUBSTITUTE(SUBSTITUTE(SalesData[[#This Row],[Sales]],"$",""),",","")),0)</f>
        <v>0.14170506912442396</v>
      </c>
      <c r="Y132" s="6">
        <f>IFERROR(VALUE(SUBSTITUTE(SUBSTITUTE(SalesData[[#This Row],[Sales]],"$",""),",",""))/SalesData[[#This Row],[Quantity]],0)</f>
        <v>14.879999999999999</v>
      </c>
      <c r="Z132">
        <f>YEAR(SalesData[[#This Row],[Order Date]])</f>
        <v>2022</v>
      </c>
      <c r="AA132" t="str">
        <f>TEXT(SalesData[[#This Row],[Order Date]],"mmm")</f>
        <v>Sep</v>
      </c>
      <c r="AB13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33" spans="1:28">
      <c r="A133">
        <v>82</v>
      </c>
      <c r="B133" t="s">
        <v>914</v>
      </c>
      <c r="C133" s="1">
        <v>44835</v>
      </c>
      <c r="D133" s="1">
        <v>44839</v>
      </c>
      <c r="E133" t="s">
        <v>49</v>
      </c>
      <c r="F133" t="s">
        <v>915</v>
      </c>
      <c r="G133" t="s">
        <v>916</v>
      </c>
      <c r="H133" t="s">
        <v>25</v>
      </c>
      <c r="I133" t="s">
        <v>26</v>
      </c>
      <c r="J133" t="s">
        <v>61</v>
      </c>
      <c r="K133" t="s">
        <v>61</v>
      </c>
      <c r="L133">
        <v>58787</v>
      </c>
      <c r="M133" t="s">
        <v>62</v>
      </c>
      <c r="N133" t="s">
        <v>917</v>
      </c>
      <c r="O133" t="s">
        <v>43</v>
      </c>
      <c r="P133" t="s">
        <v>189</v>
      </c>
      <c r="Q133" t="s">
        <v>295</v>
      </c>
      <c r="R133" t="s">
        <v>918</v>
      </c>
      <c r="S133">
        <v>4</v>
      </c>
      <c r="T133" s="2">
        <v>0.5</v>
      </c>
      <c r="U133" t="s">
        <v>919</v>
      </c>
      <c r="V133" t="str">
        <f>CHOOSE(MOD(SalesData[[#This Row],[Row ID]]-1,8)+1,"Aarav Sharma","Ananya Singh","Rohan Verma","Priya Gupta","Arjun Mehta","Neha Kapoor","Rahul Joshi","Sneha Patel")</f>
        <v>Ananya Singh</v>
      </c>
      <c r="W13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33" s="8">
        <f>IFERROR(VALUE(SUBSTITUTE(SUBSTITUTE(SalesData[[#This Row],[Profit]],"$",""),",",""))/VALUE(SUBSTITUTE(SUBSTITUTE(SalesData[[#This Row],[Sales]],"$",""),",","")),0)</f>
        <v>-0.101889962200756</v>
      </c>
      <c r="Y133" s="6">
        <f>IFERROR(VALUE(SUBSTITUTE(SUBSTITUTE(SalesData[[#This Row],[Sales]],"$",""),",",""))/SalesData[[#This Row],[Quantity]],0)</f>
        <v>29.762499999999999</v>
      </c>
      <c r="Z133">
        <f>YEAR(SalesData[[#This Row],[Order Date]])</f>
        <v>2022</v>
      </c>
      <c r="AA133" t="str">
        <f>TEXT(SalesData[[#This Row],[Order Date]],"mmm")</f>
        <v>Oct</v>
      </c>
      <c r="AB13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34" spans="1:28">
      <c r="A134">
        <v>172</v>
      </c>
      <c r="B134" t="s">
        <v>920</v>
      </c>
      <c r="C134" s="1">
        <v>44835</v>
      </c>
      <c r="D134" s="1">
        <v>44839</v>
      </c>
      <c r="E134" t="s">
        <v>36</v>
      </c>
      <c r="F134" t="s">
        <v>921</v>
      </c>
      <c r="G134" t="s">
        <v>322</v>
      </c>
      <c r="H134" t="s">
        <v>39</v>
      </c>
      <c r="I134" t="s">
        <v>26</v>
      </c>
      <c r="J134" t="s">
        <v>61</v>
      </c>
      <c r="K134" t="s">
        <v>61</v>
      </c>
      <c r="L134">
        <v>72507</v>
      </c>
      <c r="M134" t="s">
        <v>62</v>
      </c>
      <c r="N134" t="s">
        <v>922</v>
      </c>
      <c r="O134" t="s">
        <v>43</v>
      </c>
      <c r="P134" t="s">
        <v>44</v>
      </c>
      <c r="Q134" t="s">
        <v>239</v>
      </c>
      <c r="R134" t="s">
        <v>923</v>
      </c>
      <c r="S134">
        <v>4</v>
      </c>
      <c r="T134" s="2">
        <v>0</v>
      </c>
      <c r="U134" t="s">
        <v>924</v>
      </c>
      <c r="V134" t="str">
        <f>CHOOSE(MOD(SalesData[[#This Row],[Row ID]]-1,8)+1,"Aarav Sharma","Ananya Singh","Rohan Verma","Priya Gupta","Arjun Mehta","Neha Kapoor","Rahul Joshi","Sneha Patel")</f>
        <v>Priya Gupta</v>
      </c>
      <c r="W13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34" s="8">
        <f>IFERROR(VALUE(SUBSTITUTE(SUBSTITUTE(SalesData[[#This Row],[Profit]],"$",""),",",""))/VALUE(SUBSTITUTE(SUBSTITUTE(SalesData[[#This Row],[Sales]],"$",""),",","")),0)</f>
        <v>0.28007594499741095</v>
      </c>
      <c r="Y134" s="6">
        <f>IFERROR(VALUE(SUBSTITUTE(SUBSTITUTE(SalesData[[#This Row],[Sales]],"$",""),",",""))/SalesData[[#This Row],[Quantity]],0)</f>
        <v>43.452500000000001</v>
      </c>
      <c r="Z134">
        <f>YEAR(SalesData[[#This Row],[Order Date]])</f>
        <v>2022</v>
      </c>
      <c r="AA134" t="str">
        <f>TEXT(SalesData[[#This Row],[Order Date]],"mmm")</f>
        <v>Oct</v>
      </c>
      <c r="AB13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35" spans="1:28">
      <c r="A135">
        <v>227</v>
      </c>
      <c r="B135" t="s">
        <v>925</v>
      </c>
      <c r="C135" s="1">
        <v>44837</v>
      </c>
      <c r="D135" s="1">
        <v>44840</v>
      </c>
      <c r="E135" t="s">
        <v>22</v>
      </c>
      <c r="F135" t="s">
        <v>926</v>
      </c>
      <c r="G135" t="s">
        <v>876</v>
      </c>
      <c r="H135" t="s">
        <v>39</v>
      </c>
      <c r="I135" t="s">
        <v>26</v>
      </c>
      <c r="J135" t="s">
        <v>150</v>
      </c>
      <c r="K135" t="s">
        <v>150</v>
      </c>
      <c r="L135">
        <v>79681</v>
      </c>
      <c r="M135" t="s">
        <v>73</v>
      </c>
      <c r="N135" t="s">
        <v>119</v>
      </c>
      <c r="O135" t="s">
        <v>64</v>
      </c>
      <c r="P135" t="s">
        <v>65</v>
      </c>
      <c r="Q135" t="s">
        <v>927</v>
      </c>
      <c r="R135" t="s">
        <v>928</v>
      </c>
      <c r="S135">
        <v>3</v>
      </c>
      <c r="T135" s="2">
        <v>0.3</v>
      </c>
      <c r="U135" t="s">
        <v>929</v>
      </c>
      <c r="V135" t="str">
        <f>CHOOSE(MOD(SalesData[[#This Row],[Row ID]]-1,8)+1,"Aarav Sharma","Ananya Singh","Rohan Verma","Priya Gupta","Arjun Mehta","Neha Kapoor","Rahul Joshi","Sneha Patel")</f>
        <v>Rohan Verma</v>
      </c>
      <c r="W13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35" s="8">
        <f>IFERROR(VALUE(SUBSTITUTE(SUBSTITUTE(SalesData[[#This Row],[Profit]],"$",""),",",""))/VALUE(SUBSTITUTE(SUBSTITUTE(SalesData[[#This Row],[Sales]],"$",""),",","")),0)</f>
        <v>1.628384192758324E-2</v>
      </c>
      <c r="Y135" s="6">
        <f>IFERROR(VALUE(SUBSTITUTE(SUBSTITUTE(SalesData[[#This Row],[Sales]],"$",""),",",""))/SalesData[[#This Row],[Quantity]],0)</f>
        <v>201.42666666666665</v>
      </c>
      <c r="Z135">
        <f>YEAR(SalesData[[#This Row],[Order Date]])</f>
        <v>2022</v>
      </c>
      <c r="AA135" t="str">
        <f>TEXT(SalesData[[#This Row],[Order Date]],"mmm")</f>
        <v>Oct</v>
      </c>
      <c r="AB13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36" spans="1:28">
      <c r="A136">
        <v>344</v>
      </c>
      <c r="B136" t="s">
        <v>930</v>
      </c>
      <c r="C136" s="1">
        <v>44838</v>
      </c>
      <c r="D136" s="1">
        <v>44841</v>
      </c>
      <c r="E136" t="s">
        <v>36</v>
      </c>
      <c r="F136" t="s">
        <v>931</v>
      </c>
      <c r="G136" t="s">
        <v>932</v>
      </c>
      <c r="H136" t="s">
        <v>25</v>
      </c>
      <c r="I136" t="s">
        <v>26</v>
      </c>
      <c r="J136" t="s">
        <v>27</v>
      </c>
      <c r="K136" t="s">
        <v>27</v>
      </c>
      <c r="L136">
        <v>91494</v>
      </c>
      <c r="M136" t="s">
        <v>28</v>
      </c>
      <c r="N136" t="s">
        <v>933</v>
      </c>
      <c r="O136" t="s">
        <v>30</v>
      </c>
      <c r="P136" t="s">
        <v>222</v>
      </c>
      <c r="Q136" t="s">
        <v>934</v>
      </c>
      <c r="R136" t="s">
        <v>935</v>
      </c>
      <c r="S136">
        <v>5</v>
      </c>
      <c r="T136" s="2">
        <v>0.3</v>
      </c>
      <c r="U136" t="s">
        <v>936</v>
      </c>
      <c r="V136" t="str">
        <f>CHOOSE(MOD(SalesData[[#This Row],[Row ID]]-1,8)+1,"Aarav Sharma","Ananya Singh","Rohan Verma","Priya Gupta","Arjun Mehta","Neha Kapoor","Rahul Joshi","Sneha Patel")</f>
        <v>Sneha Patel</v>
      </c>
      <c r="W13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36" s="8">
        <f>IFERROR(VALUE(SUBSTITUTE(SUBSTITUTE(SalesData[[#This Row],[Profit]],"$",""),",",""))/VALUE(SUBSTITUTE(SUBSTITUTE(SalesData[[#This Row],[Sales]],"$",""),",","")),0)</f>
        <v>1.2035344302254723E-2</v>
      </c>
      <c r="Y136" s="6">
        <f>IFERROR(VALUE(SUBSTITUTE(SUBSTITUTE(SalesData[[#This Row],[Sales]],"$",""),",",""))/SalesData[[#This Row],[Quantity]],0)</f>
        <v>13.128</v>
      </c>
      <c r="Z136">
        <f>YEAR(SalesData[[#This Row],[Order Date]])</f>
        <v>2022</v>
      </c>
      <c r="AA136" t="str">
        <f>TEXT(SalesData[[#This Row],[Order Date]],"mmm")</f>
        <v>Oct</v>
      </c>
      <c r="AB13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37" spans="1:28">
      <c r="A137">
        <v>480</v>
      </c>
      <c r="B137" t="s">
        <v>937</v>
      </c>
      <c r="C137" s="1">
        <v>44838</v>
      </c>
      <c r="D137" s="1">
        <v>44842</v>
      </c>
      <c r="E137" t="s">
        <v>49</v>
      </c>
      <c r="F137" t="s">
        <v>938</v>
      </c>
      <c r="G137" t="s">
        <v>939</v>
      </c>
      <c r="H137" t="s">
        <v>25</v>
      </c>
      <c r="I137" t="s">
        <v>26</v>
      </c>
      <c r="J137" t="s">
        <v>260</v>
      </c>
      <c r="K137" t="s">
        <v>260</v>
      </c>
      <c r="L137">
        <v>50077</v>
      </c>
      <c r="M137" t="s">
        <v>41</v>
      </c>
      <c r="N137" t="s">
        <v>940</v>
      </c>
      <c r="O137" t="s">
        <v>43</v>
      </c>
      <c r="P137" t="s">
        <v>214</v>
      </c>
      <c r="Q137" t="s">
        <v>215</v>
      </c>
      <c r="R137" t="s">
        <v>941</v>
      </c>
      <c r="S137">
        <v>3</v>
      </c>
      <c r="T137" s="2">
        <v>0.5</v>
      </c>
      <c r="U137" t="s">
        <v>942</v>
      </c>
      <c r="V137" t="str">
        <f>CHOOSE(MOD(SalesData[[#This Row],[Row ID]]-1,8)+1,"Aarav Sharma","Ananya Singh","Rohan Verma","Priya Gupta","Arjun Mehta","Neha Kapoor","Rahul Joshi","Sneha Patel")</f>
        <v>Sneha Patel</v>
      </c>
      <c r="W13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37" s="8">
        <f>IFERROR(VALUE(SUBSTITUTE(SUBSTITUTE(SalesData[[#This Row],[Profit]],"$",""),",",""))/VALUE(SUBSTITUTE(SUBSTITUTE(SalesData[[#This Row],[Sales]],"$",""),",","")),0)</f>
        <v>-9.484404837683004E-2</v>
      </c>
      <c r="Y137" s="6">
        <f>IFERROR(VALUE(SUBSTITUTE(SUBSTITUTE(SalesData[[#This Row],[Sales]],"$",""),",",""))/SalesData[[#This Row],[Quantity]],0)</f>
        <v>5.2366666666666672</v>
      </c>
      <c r="Z137">
        <f>YEAR(SalesData[[#This Row],[Order Date]])</f>
        <v>2022</v>
      </c>
      <c r="AA137" t="str">
        <f>TEXT(SalesData[[#This Row],[Order Date]],"mmm")</f>
        <v>Oct</v>
      </c>
      <c r="AB13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38" spans="1:28">
      <c r="A138">
        <v>401</v>
      </c>
      <c r="B138" t="s">
        <v>943</v>
      </c>
      <c r="C138" s="1">
        <v>44841</v>
      </c>
      <c r="D138" s="1">
        <v>44843</v>
      </c>
      <c r="E138" t="s">
        <v>36</v>
      </c>
      <c r="F138" t="s">
        <v>944</v>
      </c>
      <c r="G138" t="s">
        <v>945</v>
      </c>
      <c r="H138" t="s">
        <v>39</v>
      </c>
      <c r="I138" t="s">
        <v>26</v>
      </c>
      <c r="J138" t="s">
        <v>204</v>
      </c>
      <c r="K138" t="s">
        <v>204</v>
      </c>
      <c r="L138">
        <v>57708</v>
      </c>
      <c r="M138" t="s">
        <v>28</v>
      </c>
      <c r="N138" t="s">
        <v>946</v>
      </c>
      <c r="O138" t="s">
        <v>64</v>
      </c>
      <c r="P138" t="s">
        <v>405</v>
      </c>
      <c r="Q138" t="s">
        <v>947</v>
      </c>
      <c r="R138" t="s">
        <v>948</v>
      </c>
      <c r="S138">
        <v>1</v>
      </c>
      <c r="T138" s="2">
        <v>0.4</v>
      </c>
      <c r="U138" t="s">
        <v>949</v>
      </c>
      <c r="V138" t="str">
        <f>CHOOSE(MOD(SalesData[[#This Row],[Row ID]]-1,8)+1,"Aarav Sharma","Ananya Singh","Rohan Verma","Priya Gupta","Arjun Mehta","Neha Kapoor","Rahul Joshi","Sneha Patel")</f>
        <v>Aarav Sharma</v>
      </c>
      <c r="W13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38" s="8">
        <f>IFERROR(VALUE(SUBSTITUTE(SUBSTITUTE(SalesData[[#This Row],[Profit]],"$",""),",",""))/VALUE(SUBSTITUTE(SUBSTITUTE(SalesData[[#This Row],[Sales]],"$",""),",","")),0)</f>
        <v>-3.2588498737433892E-2</v>
      </c>
      <c r="Y138" s="6">
        <f>IFERROR(VALUE(SUBSTITUTE(SUBSTITUTE(SalesData[[#This Row],[Sales]],"$",""),",",""))/SalesData[[#This Row],[Quantity]],0)</f>
        <v>419.78</v>
      </c>
      <c r="Z138">
        <f>YEAR(SalesData[[#This Row],[Order Date]])</f>
        <v>2022</v>
      </c>
      <c r="AA138" t="str">
        <f>TEXT(SalesData[[#This Row],[Order Date]],"mmm")</f>
        <v>Oct</v>
      </c>
      <c r="AB13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39" spans="1:28">
      <c r="A139">
        <v>328</v>
      </c>
      <c r="B139" t="s">
        <v>950</v>
      </c>
      <c r="C139" s="1">
        <v>44844</v>
      </c>
      <c r="D139" s="1">
        <v>44846</v>
      </c>
      <c r="E139" t="s">
        <v>36</v>
      </c>
      <c r="F139" t="s">
        <v>951</v>
      </c>
      <c r="G139" t="s">
        <v>952</v>
      </c>
      <c r="H139" t="s">
        <v>60</v>
      </c>
      <c r="I139" t="s">
        <v>26</v>
      </c>
      <c r="J139" t="s">
        <v>229</v>
      </c>
      <c r="K139" t="s">
        <v>229</v>
      </c>
      <c r="L139">
        <v>41406</v>
      </c>
      <c r="M139" t="s">
        <v>73</v>
      </c>
      <c r="N139" t="s">
        <v>953</v>
      </c>
      <c r="O139" t="s">
        <v>64</v>
      </c>
      <c r="P139" t="s">
        <v>105</v>
      </c>
      <c r="Q139" t="s">
        <v>954</v>
      </c>
      <c r="R139" t="s">
        <v>955</v>
      </c>
      <c r="S139">
        <v>6</v>
      </c>
      <c r="T139" s="2">
        <v>0.1</v>
      </c>
      <c r="U139" t="s">
        <v>956</v>
      </c>
      <c r="V139" t="str">
        <f>CHOOSE(MOD(SalesData[[#This Row],[Row ID]]-1,8)+1,"Aarav Sharma","Ananya Singh","Rohan Verma","Priya Gupta","Arjun Mehta","Neha Kapoor","Rahul Joshi","Sneha Patel")</f>
        <v>Sneha Patel</v>
      </c>
      <c r="W13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39" s="8">
        <f>IFERROR(VALUE(SUBSTITUTE(SUBSTITUTE(SalesData[[#This Row],[Profit]],"$",""),",",""))/VALUE(SUBSTITUTE(SUBSTITUTE(SalesData[[#This Row],[Sales]],"$",""),",","")),0)</f>
        <v>0.23708920187793428</v>
      </c>
      <c r="Y139" s="6">
        <f>IFERROR(VALUE(SUBSTITUTE(SUBSTITUTE(SalesData[[#This Row],[Sales]],"$",""),",",""))/SalesData[[#This Row],[Quantity]],0)</f>
        <v>1.42</v>
      </c>
      <c r="Z139">
        <f>YEAR(SalesData[[#This Row],[Order Date]])</f>
        <v>2022</v>
      </c>
      <c r="AA139" t="str">
        <f>TEXT(SalesData[[#This Row],[Order Date]],"mmm")</f>
        <v>Oct</v>
      </c>
      <c r="AB13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40" spans="1:28">
      <c r="A140">
        <v>199</v>
      </c>
      <c r="B140" t="s">
        <v>957</v>
      </c>
      <c r="C140" s="1">
        <v>44845</v>
      </c>
      <c r="D140" s="1">
        <v>44849</v>
      </c>
      <c r="E140" t="s">
        <v>22</v>
      </c>
      <c r="F140" t="s">
        <v>958</v>
      </c>
      <c r="G140" t="s">
        <v>959</v>
      </c>
      <c r="H140" t="s">
        <v>39</v>
      </c>
      <c r="I140" t="s">
        <v>26</v>
      </c>
      <c r="J140" t="s">
        <v>229</v>
      </c>
      <c r="K140" t="s">
        <v>229</v>
      </c>
      <c r="L140">
        <v>92289</v>
      </c>
      <c r="M140" t="s">
        <v>73</v>
      </c>
      <c r="N140" t="s">
        <v>960</v>
      </c>
      <c r="O140" t="s">
        <v>43</v>
      </c>
      <c r="P140" t="s">
        <v>214</v>
      </c>
      <c r="Q140" t="s">
        <v>473</v>
      </c>
      <c r="R140" t="s">
        <v>961</v>
      </c>
      <c r="S140">
        <v>5</v>
      </c>
      <c r="T140" s="2">
        <v>0.2</v>
      </c>
      <c r="U140" t="s">
        <v>962</v>
      </c>
      <c r="V140" t="str">
        <f>CHOOSE(MOD(SalesData[[#This Row],[Row ID]]-1,8)+1,"Aarav Sharma","Ananya Singh","Rohan Verma","Priya Gupta","Arjun Mehta","Neha Kapoor","Rahul Joshi","Sneha Patel")</f>
        <v>Rahul Joshi</v>
      </c>
      <c r="W14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40" s="8">
        <f>IFERROR(VALUE(SUBSTITUTE(SUBSTITUTE(SalesData[[#This Row],[Profit]],"$",""),",",""))/VALUE(SUBSTITUTE(SUBSTITUTE(SalesData[[#This Row],[Sales]],"$",""),",","")),0)</f>
        <v>5.7535311649604771E-2</v>
      </c>
      <c r="Y140" s="6">
        <f>IFERROR(VALUE(SUBSTITUTE(SUBSTITUTE(SalesData[[#This Row],[Sales]],"$",""),",",""))/SalesData[[#This Row],[Quantity]],0)</f>
        <v>15.434000000000001</v>
      </c>
      <c r="Z140">
        <f>YEAR(SalesData[[#This Row],[Order Date]])</f>
        <v>2022</v>
      </c>
      <c r="AA140" t="str">
        <f>TEXT(SalesData[[#This Row],[Order Date]],"mmm")</f>
        <v>Oct</v>
      </c>
      <c r="AB14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41" spans="1:28">
      <c r="A141">
        <v>469</v>
      </c>
      <c r="B141" t="s">
        <v>963</v>
      </c>
      <c r="C141" s="1">
        <v>44849</v>
      </c>
      <c r="D141" s="1">
        <v>44853</v>
      </c>
      <c r="E141" t="s">
        <v>36</v>
      </c>
      <c r="F141" t="s">
        <v>964</v>
      </c>
      <c r="G141" t="s">
        <v>203</v>
      </c>
      <c r="H141" t="s">
        <v>60</v>
      </c>
      <c r="I141" t="s">
        <v>26</v>
      </c>
      <c r="J141" t="s">
        <v>40</v>
      </c>
      <c r="K141" t="s">
        <v>40</v>
      </c>
      <c r="L141">
        <v>99520</v>
      </c>
      <c r="M141" t="s">
        <v>41</v>
      </c>
      <c r="N141" t="s">
        <v>965</v>
      </c>
      <c r="O141" t="s">
        <v>30</v>
      </c>
      <c r="P141" t="s">
        <v>197</v>
      </c>
      <c r="Q141" t="s">
        <v>966</v>
      </c>
      <c r="R141" t="s">
        <v>967</v>
      </c>
      <c r="S141">
        <v>4</v>
      </c>
      <c r="T141" s="2">
        <v>0.2</v>
      </c>
      <c r="U141" t="s">
        <v>968</v>
      </c>
      <c r="V141" t="str">
        <f>CHOOSE(MOD(SalesData[[#This Row],[Row ID]]-1,8)+1,"Aarav Sharma","Ananya Singh","Rohan Verma","Priya Gupta","Arjun Mehta","Neha Kapoor","Rahul Joshi","Sneha Patel")</f>
        <v>Arjun Mehta</v>
      </c>
      <c r="W14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41" s="8">
        <f>IFERROR(VALUE(SUBSTITUTE(SUBSTITUTE(SalesData[[#This Row],[Profit]],"$",""),",",""))/VALUE(SUBSTITUTE(SUBSTITUTE(SalesData[[#This Row],[Sales]],"$",""),",","")),0)</f>
        <v>1.5553522415370541E-3</v>
      </c>
      <c r="Y141" s="6">
        <f>IFERROR(VALUE(SUBSTITUTE(SUBSTITUTE(SalesData[[#This Row],[Sales]],"$",""),",",""))/SalesData[[#This Row],[Quantity]],0)</f>
        <v>27.324999999999999</v>
      </c>
      <c r="Z141">
        <f>YEAR(SalesData[[#This Row],[Order Date]])</f>
        <v>2022</v>
      </c>
      <c r="AA141" t="str">
        <f>TEXT(SalesData[[#This Row],[Order Date]],"mmm")</f>
        <v>Oct</v>
      </c>
      <c r="AB14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42" spans="1:28">
      <c r="A142">
        <v>592</v>
      </c>
      <c r="B142" t="s">
        <v>969</v>
      </c>
      <c r="C142" s="1">
        <v>44849</v>
      </c>
      <c r="D142" s="1">
        <v>44852</v>
      </c>
      <c r="E142" t="s">
        <v>49</v>
      </c>
      <c r="F142" t="s">
        <v>970</v>
      </c>
      <c r="G142" t="s">
        <v>492</v>
      </c>
      <c r="H142" t="s">
        <v>25</v>
      </c>
      <c r="I142" t="s">
        <v>26</v>
      </c>
      <c r="J142" t="s">
        <v>641</v>
      </c>
      <c r="K142" t="s">
        <v>641</v>
      </c>
      <c r="L142">
        <v>77594</v>
      </c>
      <c r="M142" t="s">
        <v>62</v>
      </c>
      <c r="N142" t="s">
        <v>971</v>
      </c>
      <c r="O142" t="s">
        <v>43</v>
      </c>
      <c r="P142" t="s">
        <v>166</v>
      </c>
      <c r="Q142" t="s">
        <v>972</v>
      </c>
      <c r="R142" t="s">
        <v>973</v>
      </c>
      <c r="S142">
        <v>3</v>
      </c>
      <c r="T142" s="2">
        <v>0.1</v>
      </c>
      <c r="U142" t="s">
        <v>974</v>
      </c>
      <c r="V142" t="str">
        <f>CHOOSE(MOD(SalesData[[#This Row],[Row ID]]-1,8)+1,"Aarav Sharma","Ananya Singh","Rohan Verma","Priya Gupta","Arjun Mehta","Neha Kapoor","Rahul Joshi","Sneha Patel")</f>
        <v>Sneha Patel</v>
      </c>
      <c r="W14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42" s="8">
        <f>IFERROR(VALUE(SUBSTITUTE(SUBSTITUTE(SalesData[[#This Row],[Profit]],"$",""),",",""))/VALUE(SUBSTITUTE(SUBSTITUTE(SalesData[[#This Row],[Sales]],"$",""),",","")),0)</f>
        <v>0.19873150105708245</v>
      </c>
      <c r="Y142" s="6">
        <f>IFERROR(VALUE(SUBSTITUTE(SUBSTITUTE(SalesData[[#This Row],[Sales]],"$",""),",",""))/SalesData[[#This Row],[Quantity]],0)</f>
        <v>4.7299999999999995</v>
      </c>
      <c r="Z142">
        <f>YEAR(SalesData[[#This Row],[Order Date]])</f>
        <v>2022</v>
      </c>
      <c r="AA142" t="str">
        <f>TEXT(SalesData[[#This Row],[Order Date]],"mmm")</f>
        <v>Oct</v>
      </c>
      <c r="AB14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43" spans="1:28">
      <c r="A143">
        <v>50</v>
      </c>
      <c r="B143" t="s">
        <v>975</v>
      </c>
      <c r="C143" s="1">
        <v>44850</v>
      </c>
      <c r="D143" s="1">
        <v>44851</v>
      </c>
      <c r="E143" t="s">
        <v>36</v>
      </c>
      <c r="F143" t="s">
        <v>976</v>
      </c>
      <c r="G143" t="s">
        <v>518</v>
      </c>
      <c r="H143" t="s">
        <v>60</v>
      </c>
      <c r="I143" t="s">
        <v>26</v>
      </c>
      <c r="J143" t="s">
        <v>363</v>
      </c>
      <c r="K143" t="s">
        <v>363</v>
      </c>
      <c r="L143">
        <v>24382</v>
      </c>
      <c r="M143" t="s">
        <v>62</v>
      </c>
      <c r="N143" t="s">
        <v>977</v>
      </c>
      <c r="O143" t="s">
        <v>43</v>
      </c>
      <c r="P143" t="s">
        <v>44</v>
      </c>
      <c r="Q143" t="s">
        <v>231</v>
      </c>
      <c r="R143" t="s">
        <v>978</v>
      </c>
      <c r="S143">
        <v>4</v>
      </c>
      <c r="T143" s="2">
        <v>0.15</v>
      </c>
      <c r="U143" t="s">
        <v>979</v>
      </c>
      <c r="V143" t="str">
        <f>CHOOSE(MOD(SalesData[[#This Row],[Row ID]]-1,8)+1,"Aarav Sharma","Ananya Singh","Rohan Verma","Priya Gupta","Arjun Mehta","Neha Kapoor","Rahul Joshi","Sneha Patel")</f>
        <v>Ananya Singh</v>
      </c>
      <c r="W14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43" s="8">
        <f>IFERROR(VALUE(SUBSTITUTE(SUBSTITUTE(SalesData[[#This Row],[Profit]],"$",""),",",""))/VALUE(SUBSTITUTE(SUBSTITUTE(SalesData[[#This Row],[Sales]],"$",""),",","")),0)</f>
        <v>0.12496497618380499</v>
      </c>
      <c r="Y143" s="6">
        <f>IFERROR(VALUE(SUBSTITUTE(SUBSTITUTE(SalesData[[#This Row],[Sales]],"$",""),",",""))/SalesData[[#This Row],[Quantity]],0)</f>
        <v>35.69</v>
      </c>
      <c r="Z143">
        <f>YEAR(SalesData[[#This Row],[Order Date]])</f>
        <v>2022</v>
      </c>
      <c r="AA143" t="str">
        <f>TEXT(SalesData[[#This Row],[Order Date]],"mmm")</f>
        <v>Oct</v>
      </c>
      <c r="AB14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44" spans="1:28">
      <c r="A144">
        <v>187</v>
      </c>
      <c r="B144" t="s">
        <v>980</v>
      </c>
      <c r="C144" s="1">
        <v>44851</v>
      </c>
      <c r="D144" s="1">
        <v>44856</v>
      </c>
      <c r="E144" t="s">
        <v>36</v>
      </c>
      <c r="F144" t="s">
        <v>981</v>
      </c>
      <c r="G144" t="s">
        <v>982</v>
      </c>
      <c r="H144" t="s">
        <v>25</v>
      </c>
      <c r="I144" t="s">
        <v>26</v>
      </c>
      <c r="J144" t="s">
        <v>237</v>
      </c>
      <c r="K144" t="s">
        <v>237</v>
      </c>
      <c r="L144">
        <v>95076</v>
      </c>
      <c r="M144" t="s">
        <v>41</v>
      </c>
      <c r="N144" t="s">
        <v>983</v>
      </c>
      <c r="O144" t="s">
        <v>30</v>
      </c>
      <c r="P144" t="s">
        <v>120</v>
      </c>
      <c r="Q144" t="s">
        <v>420</v>
      </c>
      <c r="R144" t="s">
        <v>984</v>
      </c>
      <c r="S144">
        <v>1</v>
      </c>
      <c r="T144" s="2">
        <v>0.2</v>
      </c>
      <c r="U144" t="s">
        <v>985</v>
      </c>
      <c r="V144" t="str">
        <f>CHOOSE(MOD(SalesData[[#This Row],[Row ID]]-1,8)+1,"Aarav Sharma","Ananya Singh","Rohan Verma","Priya Gupta","Arjun Mehta","Neha Kapoor","Rahul Joshi","Sneha Patel")</f>
        <v>Rohan Verma</v>
      </c>
      <c r="W14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44" s="8">
        <f>IFERROR(VALUE(SUBSTITUTE(SUBSTITUTE(SalesData[[#This Row],[Profit]],"$",""),",",""))/VALUE(SUBSTITUTE(SUBSTITUTE(SalesData[[#This Row],[Sales]],"$",""),",","")),0)</f>
        <v>-1.2809416652241647E-2</v>
      </c>
      <c r="Y144" s="6">
        <f>IFERROR(VALUE(SUBSTITUTE(SUBSTITUTE(SalesData[[#This Row],[Sales]],"$",""),",",""))/SalesData[[#This Row],[Quantity]],0)</f>
        <v>288.85000000000002</v>
      </c>
      <c r="Z144">
        <f>YEAR(SalesData[[#This Row],[Order Date]])</f>
        <v>2022</v>
      </c>
      <c r="AA144" t="str">
        <f>TEXT(SalesData[[#This Row],[Order Date]],"mmm")</f>
        <v>Oct</v>
      </c>
      <c r="AB14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45" spans="1:28">
      <c r="A145">
        <v>70</v>
      </c>
      <c r="B145" t="s">
        <v>986</v>
      </c>
      <c r="C145" s="1">
        <v>44854</v>
      </c>
      <c r="D145" s="1">
        <v>44855</v>
      </c>
      <c r="E145" t="s">
        <v>36</v>
      </c>
      <c r="F145" t="s">
        <v>987</v>
      </c>
      <c r="G145" t="s">
        <v>95</v>
      </c>
      <c r="H145" t="s">
        <v>25</v>
      </c>
      <c r="I145" t="s">
        <v>26</v>
      </c>
      <c r="J145" t="s">
        <v>301</v>
      </c>
      <c r="K145" t="s">
        <v>301</v>
      </c>
      <c r="L145">
        <v>72211</v>
      </c>
      <c r="M145" t="s">
        <v>73</v>
      </c>
      <c r="N145" t="s">
        <v>988</v>
      </c>
      <c r="O145" t="s">
        <v>64</v>
      </c>
      <c r="P145" t="s">
        <v>405</v>
      </c>
      <c r="Q145" t="s">
        <v>989</v>
      </c>
      <c r="R145" t="s">
        <v>990</v>
      </c>
      <c r="S145">
        <v>3</v>
      </c>
      <c r="T145" s="2">
        <v>0.4</v>
      </c>
      <c r="U145" t="s">
        <v>991</v>
      </c>
      <c r="V145" t="str">
        <f>CHOOSE(MOD(SalesData[[#This Row],[Row ID]]-1,8)+1,"Aarav Sharma","Ananya Singh","Rohan Verma","Priya Gupta","Arjun Mehta","Neha Kapoor","Rahul Joshi","Sneha Patel")</f>
        <v>Neha Kapoor</v>
      </c>
      <c r="W14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45" s="8">
        <f>IFERROR(VALUE(SUBSTITUTE(SUBSTITUTE(SalesData[[#This Row],[Profit]],"$",""),",",""))/VALUE(SUBSTITUTE(SUBSTITUTE(SalesData[[#This Row],[Sales]],"$",""),",","")),0)</f>
        <v>-1.4622986391188472E-2</v>
      </c>
      <c r="Y145" s="6">
        <f>IFERROR(VALUE(SUBSTITUTE(SUBSTITUTE(SalesData[[#This Row],[Sales]],"$",""),",",""))/SalesData[[#This Row],[Quantity]],0)</f>
        <v>141.33000000000001</v>
      </c>
      <c r="Z145">
        <f>YEAR(SalesData[[#This Row],[Order Date]])</f>
        <v>2022</v>
      </c>
      <c r="AA145" t="str">
        <f>TEXT(SalesData[[#This Row],[Order Date]],"mmm")</f>
        <v>Oct</v>
      </c>
      <c r="AB14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46" spans="1:28">
      <c r="A146">
        <v>420</v>
      </c>
      <c r="B146" t="s">
        <v>992</v>
      </c>
      <c r="C146" s="1">
        <v>44854</v>
      </c>
      <c r="D146" s="1">
        <v>44859</v>
      </c>
      <c r="E146" t="s">
        <v>382</v>
      </c>
      <c r="F146" t="s">
        <v>993</v>
      </c>
      <c r="G146" t="s">
        <v>994</v>
      </c>
      <c r="H146" t="s">
        <v>39</v>
      </c>
      <c r="I146" t="s">
        <v>26</v>
      </c>
      <c r="J146" t="s">
        <v>52</v>
      </c>
      <c r="K146" t="s">
        <v>52</v>
      </c>
      <c r="L146">
        <v>48889</v>
      </c>
      <c r="M146" t="s">
        <v>41</v>
      </c>
      <c r="N146" t="s">
        <v>953</v>
      </c>
      <c r="O146" t="s">
        <v>30</v>
      </c>
      <c r="P146" t="s">
        <v>222</v>
      </c>
      <c r="Q146" t="s">
        <v>995</v>
      </c>
      <c r="R146" t="s">
        <v>996</v>
      </c>
      <c r="S146">
        <v>3</v>
      </c>
      <c r="T146" s="2">
        <v>0</v>
      </c>
      <c r="U146" t="s">
        <v>997</v>
      </c>
      <c r="V146" t="str">
        <f>CHOOSE(MOD(SalesData[[#This Row],[Row ID]]-1,8)+1,"Aarav Sharma","Ananya Singh","Rohan Verma","Priya Gupta","Arjun Mehta","Neha Kapoor","Rahul Joshi","Sneha Patel")</f>
        <v>Priya Gupta</v>
      </c>
      <c r="W14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46" s="8">
        <f>IFERROR(VALUE(SUBSTITUTE(SUBSTITUTE(SalesData[[#This Row],[Profit]],"$",""),",",""))/VALUE(SUBSTITUTE(SUBSTITUTE(SalesData[[#This Row],[Sales]],"$",""),",","")),0)</f>
        <v>8.7513153279551031E-2</v>
      </c>
      <c r="Y146" s="6">
        <f>IFERROR(VALUE(SUBSTITUTE(SUBSTITUTE(SalesData[[#This Row],[Sales]],"$",""),",",""))/SalesData[[#This Row],[Quantity]],0)</f>
        <v>38.013333333333335</v>
      </c>
      <c r="Z146">
        <f>YEAR(SalesData[[#This Row],[Order Date]])</f>
        <v>2022</v>
      </c>
      <c r="AA146" t="str">
        <f>TEXT(SalesData[[#This Row],[Order Date]],"mmm")</f>
        <v>Oct</v>
      </c>
      <c r="AB14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47" spans="1:28">
      <c r="A147">
        <v>575</v>
      </c>
      <c r="B147" t="s">
        <v>998</v>
      </c>
      <c r="C147" s="1">
        <v>44854</v>
      </c>
      <c r="D147" s="1">
        <v>44859</v>
      </c>
      <c r="E147" t="s">
        <v>36</v>
      </c>
      <c r="F147" t="s">
        <v>999</v>
      </c>
      <c r="G147" t="s">
        <v>126</v>
      </c>
      <c r="H147" t="s">
        <v>25</v>
      </c>
      <c r="I147" t="s">
        <v>26</v>
      </c>
      <c r="J147" t="s">
        <v>641</v>
      </c>
      <c r="K147" t="s">
        <v>641</v>
      </c>
      <c r="L147">
        <v>65030</v>
      </c>
      <c r="M147" t="s">
        <v>62</v>
      </c>
      <c r="N147" t="s">
        <v>1000</v>
      </c>
      <c r="O147" t="s">
        <v>43</v>
      </c>
      <c r="P147" t="s">
        <v>44</v>
      </c>
      <c r="Q147" t="s">
        <v>1001</v>
      </c>
      <c r="R147" t="s">
        <v>1002</v>
      </c>
      <c r="S147">
        <v>3</v>
      </c>
      <c r="T147" s="2">
        <v>0.15</v>
      </c>
      <c r="U147" t="s">
        <v>1003</v>
      </c>
      <c r="V147" t="str">
        <f>CHOOSE(MOD(SalesData[[#This Row],[Row ID]]-1,8)+1,"Aarav Sharma","Ananya Singh","Rohan Verma","Priya Gupta","Arjun Mehta","Neha Kapoor","Rahul Joshi","Sneha Patel")</f>
        <v>Rahul Joshi</v>
      </c>
      <c r="W14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47" s="8">
        <f>IFERROR(VALUE(SUBSTITUTE(SUBSTITUTE(SalesData[[#This Row],[Profit]],"$",""),",",""))/VALUE(SUBSTITUTE(SUBSTITUTE(SalesData[[#This Row],[Sales]],"$",""),",","")),0)</f>
        <v>0.12389839294971489</v>
      </c>
      <c r="Y147" s="6">
        <f>IFERROR(VALUE(SUBSTITUTE(SUBSTITUTE(SalesData[[#This Row],[Sales]],"$",""),",",""))/SalesData[[#This Row],[Quantity]],0)</f>
        <v>25.72</v>
      </c>
      <c r="Z147">
        <f>YEAR(SalesData[[#This Row],[Order Date]])</f>
        <v>2022</v>
      </c>
      <c r="AA147" t="str">
        <f>TEXT(SalesData[[#This Row],[Order Date]],"mmm")</f>
        <v>Oct</v>
      </c>
      <c r="AB14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48" spans="1:28">
      <c r="A148">
        <v>165</v>
      </c>
      <c r="B148" t="s">
        <v>1004</v>
      </c>
      <c r="C148" s="1">
        <v>44856</v>
      </c>
      <c r="D148" s="1">
        <v>44859</v>
      </c>
      <c r="E148" t="s">
        <v>36</v>
      </c>
      <c r="F148" t="s">
        <v>1005</v>
      </c>
      <c r="G148" t="s">
        <v>411</v>
      </c>
      <c r="H148" t="s">
        <v>25</v>
      </c>
      <c r="I148" t="s">
        <v>26</v>
      </c>
      <c r="J148" t="s">
        <v>237</v>
      </c>
      <c r="K148" t="s">
        <v>237</v>
      </c>
      <c r="L148">
        <v>40750</v>
      </c>
      <c r="M148" t="s">
        <v>41</v>
      </c>
      <c r="N148" t="s">
        <v>1006</v>
      </c>
      <c r="O148" t="s">
        <v>64</v>
      </c>
      <c r="P148" t="s">
        <v>136</v>
      </c>
      <c r="Q148" t="s">
        <v>1007</v>
      </c>
      <c r="R148" t="s">
        <v>1008</v>
      </c>
      <c r="S148">
        <v>1</v>
      </c>
      <c r="T148" s="2">
        <v>0.2</v>
      </c>
      <c r="U148" t="s">
        <v>1009</v>
      </c>
      <c r="V148" t="str">
        <f>CHOOSE(MOD(SalesData[[#This Row],[Row ID]]-1,8)+1,"Aarav Sharma","Ananya Singh","Rohan Verma","Priya Gupta","Arjun Mehta","Neha Kapoor","Rahul Joshi","Sneha Patel")</f>
        <v>Arjun Mehta</v>
      </c>
      <c r="W14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48" s="8">
        <f>IFERROR(VALUE(SUBSTITUTE(SUBSTITUTE(SalesData[[#This Row],[Profit]],"$",""),",",""))/VALUE(SUBSTITUTE(SUBSTITUTE(SalesData[[#This Row],[Sales]],"$",""),",","")),0)</f>
        <v>0.10760182966673928</v>
      </c>
      <c r="Y148" s="6">
        <f>IFERROR(VALUE(SUBSTITUTE(SUBSTITUTE(SalesData[[#This Row],[Sales]],"$",""),",",""))/SalesData[[#This Row],[Quantity]],0)</f>
        <v>45.91</v>
      </c>
      <c r="Z148">
        <f>YEAR(SalesData[[#This Row],[Order Date]])</f>
        <v>2022</v>
      </c>
      <c r="AA148" t="str">
        <f>TEXT(SalesData[[#This Row],[Order Date]],"mmm")</f>
        <v>Oct</v>
      </c>
      <c r="AB14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49" spans="1:28">
      <c r="A149">
        <v>203</v>
      </c>
      <c r="B149" t="s">
        <v>1010</v>
      </c>
      <c r="C149" s="1">
        <v>44856</v>
      </c>
      <c r="D149" s="1">
        <v>44858</v>
      </c>
      <c r="E149" t="s">
        <v>49</v>
      </c>
      <c r="F149" t="s">
        <v>1011</v>
      </c>
      <c r="G149" t="s">
        <v>1012</v>
      </c>
      <c r="H149" t="s">
        <v>39</v>
      </c>
      <c r="I149" t="s">
        <v>26</v>
      </c>
      <c r="J149" t="s">
        <v>212</v>
      </c>
      <c r="K149" t="s">
        <v>212</v>
      </c>
      <c r="L149">
        <v>57195</v>
      </c>
      <c r="M149" t="s">
        <v>28</v>
      </c>
      <c r="N149" t="s">
        <v>608</v>
      </c>
      <c r="O149" t="s">
        <v>64</v>
      </c>
      <c r="P149" t="s">
        <v>65</v>
      </c>
      <c r="Q149" t="s">
        <v>1013</v>
      </c>
      <c r="R149" t="s">
        <v>1014</v>
      </c>
      <c r="S149">
        <v>2</v>
      </c>
      <c r="T149" s="2">
        <v>0.05</v>
      </c>
      <c r="U149" t="s">
        <v>1015</v>
      </c>
      <c r="V149" t="str">
        <f>CHOOSE(MOD(SalesData[[#This Row],[Row ID]]-1,8)+1,"Aarav Sharma","Ananya Singh","Rohan Verma","Priya Gupta","Arjun Mehta","Neha Kapoor","Rahul Joshi","Sneha Patel")</f>
        <v>Rohan Verma</v>
      </c>
      <c r="W14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49" s="8">
        <f>IFERROR(VALUE(SUBSTITUTE(SUBSTITUTE(SalesData[[#This Row],[Profit]],"$",""),",",""))/VALUE(SUBSTITUTE(SUBSTITUTE(SalesData[[#This Row],[Sales]],"$",""),",","")),0)</f>
        <v>0.20022519704741648</v>
      </c>
      <c r="Y149" s="6">
        <f>IFERROR(VALUE(SUBSTITUTE(SUBSTITUTE(SalesData[[#This Row],[Sales]],"$",""),",",""))/SalesData[[#This Row],[Quantity]],0)</f>
        <v>199.82499999999999</v>
      </c>
      <c r="Z149">
        <f>YEAR(SalesData[[#This Row],[Order Date]])</f>
        <v>2022</v>
      </c>
      <c r="AA149" t="str">
        <f>TEXT(SalesData[[#This Row],[Order Date]],"mmm")</f>
        <v>Oct</v>
      </c>
      <c r="AB14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50" spans="1:28">
      <c r="A150">
        <v>559</v>
      </c>
      <c r="B150" t="s">
        <v>1016</v>
      </c>
      <c r="C150" s="1">
        <v>44857</v>
      </c>
      <c r="D150" s="1">
        <v>44861</v>
      </c>
      <c r="E150" t="s">
        <v>36</v>
      </c>
      <c r="F150" t="s">
        <v>1017</v>
      </c>
      <c r="G150" t="s">
        <v>1018</v>
      </c>
      <c r="H150" t="s">
        <v>25</v>
      </c>
      <c r="I150" t="s">
        <v>26</v>
      </c>
      <c r="J150" t="s">
        <v>641</v>
      </c>
      <c r="K150" t="s">
        <v>641</v>
      </c>
      <c r="L150">
        <v>73822</v>
      </c>
      <c r="M150" t="s">
        <v>62</v>
      </c>
      <c r="N150" t="s">
        <v>1019</v>
      </c>
      <c r="O150" t="s">
        <v>30</v>
      </c>
      <c r="P150" t="s">
        <v>197</v>
      </c>
      <c r="Q150" t="s">
        <v>1020</v>
      </c>
      <c r="R150" t="s">
        <v>1021</v>
      </c>
      <c r="S150">
        <v>1</v>
      </c>
      <c r="T150" s="2">
        <v>0.3</v>
      </c>
      <c r="U150" t="s">
        <v>1022</v>
      </c>
      <c r="V150" t="str">
        <f>CHOOSE(MOD(SalesData[[#This Row],[Row ID]]-1,8)+1,"Aarav Sharma","Ananya Singh","Rohan Verma","Priya Gupta","Arjun Mehta","Neha Kapoor","Rahul Joshi","Sneha Patel")</f>
        <v>Rahul Joshi</v>
      </c>
      <c r="W15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50" s="8">
        <f>IFERROR(VALUE(SUBSTITUTE(SUBSTITUTE(SalesData[[#This Row],[Profit]],"$",""),",",""))/VALUE(SUBSTITUTE(SUBSTITUTE(SalesData[[#This Row],[Sales]],"$",""),",","")),0)</f>
        <v>-1.3713001124016487E-2</v>
      </c>
      <c r="Y150" s="6">
        <f>IFERROR(VALUE(SUBSTITUTE(SUBSTITUTE(SalesData[[#This Row],[Sales]],"$",""),",",""))/SalesData[[#This Row],[Quantity]],0)</f>
        <v>133.44999999999999</v>
      </c>
      <c r="Z150">
        <f>YEAR(SalesData[[#This Row],[Order Date]])</f>
        <v>2022</v>
      </c>
      <c r="AA150" t="str">
        <f>TEXT(SalesData[[#This Row],[Order Date]],"mmm")</f>
        <v>Oct</v>
      </c>
      <c r="AB15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51" spans="1:28">
      <c r="A151">
        <v>290</v>
      </c>
      <c r="B151" t="s">
        <v>1023</v>
      </c>
      <c r="C151" s="1">
        <v>44857</v>
      </c>
      <c r="D151" s="1">
        <v>44860</v>
      </c>
      <c r="E151" t="s">
        <v>36</v>
      </c>
      <c r="F151" t="s">
        <v>1024</v>
      </c>
      <c r="G151" t="s">
        <v>1025</v>
      </c>
      <c r="H151" t="s">
        <v>25</v>
      </c>
      <c r="I151" t="s">
        <v>26</v>
      </c>
      <c r="J151" t="s">
        <v>173</v>
      </c>
      <c r="K151" t="s">
        <v>173</v>
      </c>
      <c r="L151">
        <v>10901</v>
      </c>
      <c r="M151" t="s">
        <v>73</v>
      </c>
      <c r="N151" t="s">
        <v>1026</v>
      </c>
      <c r="O151" t="s">
        <v>43</v>
      </c>
      <c r="P151" t="s">
        <v>83</v>
      </c>
      <c r="Q151" t="s">
        <v>1027</v>
      </c>
      <c r="R151" t="s">
        <v>1028</v>
      </c>
      <c r="S151">
        <v>1</v>
      </c>
      <c r="T151" s="2">
        <v>0.15</v>
      </c>
      <c r="U151" t="s">
        <v>1029</v>
      </c>
      <c r="V151" t="str">
        <f>CHOOSE(MOD(SalesData[[#This Row],[Row ID]]-1,8)+1,"Aarav Sharma","Ananya Singh","Rohan Verma","Priya Gupta","Arjun Mehta","Neha Kapoor","Rahul Joshi","Sneha Patel")</f>
        <v>Ananya Singh</v>
      </c>
      <c r="W15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51" s="8">
        <f>IFERROR(VALUE(SUBSTITUTE(SUBSTITUTE(SalesData[[#This Row],[Profit]],"$",""),",",""))/VALUE(SUBSTITUTE(SUBSTITUTE(SalesData[[#This Row],[Sales]],"$",""),",","")),0)</f>
        <v>0.15795015795015796</v>
      </c>
      <c r="Y151" s="6">
        <f>IFERROR(VALUE(SUBSTITUTE(SUBSTITUTE(SalesData[[#This Row],[Sales]],"$",""),",",""))/SalesData[[#This Row],[Quantity]],0)</f>
        <v>28.49</v>
      </c>
      <c r="Z151">
        <f>YEAR(SalesData[[#This Row],[Order Date]])</f>
        <v>2022</v>
      </c>
      <c r="AA151" t="str">
        <f>TEXT(SalesData[[#This Row],[Order Date]],"mmm")</f>
        <v>Oct</v>
      </c>
      <c r="AB15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52" spans="1:28">
      <c r="A152">
        <v>96</v>
      </c>
      <c r="B152" t="s">
        <v>1030</v>
      </c>
      <c r="C152" s="1">
        <v>44866</v>
      </c>
      <c r="D152" s="1">
        <v>44869</v>
      </c>
      <c r="E152" t="s">
        <v>36</v>
      </c>
      <c r="F152" t="s">
        <v>1031</v>
      </c>
      <c r="G152" t="s">
        <v>492</v>
      </c>
      <c r="H152" t="s">
        <v>39</v>
      </c>
      <c r="I152" t="s">
        <v>26</v>
      </c>
      <c r="J152" t="s">
        <v>245</v>
      </c>
      <c r="K152" t="s">
        <v>245</v>
      </c>
      <c r="L152">
        <v>31636</v>
      </c>
      <c r="M152" t="s">
        <v>41</v>
      </c>
      <c r="N152" t="s">
        <v>1032</v>
      </c>
      <c r="O152" t="s">
        <v>30</v>
      </c>
      <c r="P152" t="s">
        <v>197</v>
      </c>
      <c r="Q152" t="s">
        <v>1033</v>
      </c>
      <c r="R152" t="s">
        <v>1034</v>
      </c>
      <c r="S152">
        <v>2</v>
      </c>
      <c r="T152" s="2">
        <v>0.15</v>
      </c>
      <c r="U152" t="s">
        <v>1035</v>
      </c>
      <c r="V152" t="str">
        <f>CHOOSE(MOD(SalesData[[#This Row],[Row ID]]-1,8)+1,"Aarav Sharma","Ananya Singh","Rohan Verma","Priya Gupta","Arjun Mehta","Neha Kapoor","Rahul Joshi","Sneha Patel")</f>
        <v>Sneha Patel</v>
      </c>
      <c r="W15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52" s="8">
        <f>IFERROR(VALUE(SUBSTITUTE(SUBSTITUTE(SalesData[[#This Row],[Profit]],"$",""),",",""))/VALUE(SUBSTITUTE(SUBSTITUTE(SalesData[[#This Row],[Sales]],"$",""),",","")),0)</f>
        <v>0.10543657331136738</v>
      </c>
      <c r="Y152" s="6">
        <f>IFERROR(VALUE(SUBSTITUTE(SUBSTITUTE(SalesData[[#This Row],[Sales]],"$",""),",",""))/SalesData[[#This Row],[Quantity]],0)</f>
        <v>75.875</v>
      </c>
      <c r="Z152">
        <f>YEAR(SalesData[[#This Row],[Order Date]])</f>
        <v>2022</v>
      </c>
      <c r="AA152" t="str">
        <f>TEXT(SalesData[[#This Row],[Order Date]],"mmm")</f>
        <v>Nov</v>
      </c>
      <c r="AB15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53" spans="1:28">
      <c r="A153">
        <v>157</v>
      </c>
      <c r="B153" t="s">
        <v>1036</v>
      </c>
      <c r="C153" s="1">
        <v>44866</v>
      </c>
      <c r="D153" s="1">
        <v>44869</v>
      </c>
      <c r="E153" t="s">
        <v>36</v>
      </c>
      <c r="F153" t="s">
        <v>1037</v>
      </c>
      <c r="G153" t="s">
        <v>471</v>
      </c>
      <c r="H153" t="s">
        <v>60</v>
      </c>
      <c r="I153" t="s">
        <v>26</v>
      </c>
      <c r="J153" t="s">
        <v>229</v>
      </c>
      <c r="K153" t="s">
        <v>229</v>
      </c>
      <c r="L153">
        <v>10358</v>
      </c>
      <c r="M153" t="s">
        <v>73</v>
      </c>
      <c r="N153" t="s">
        <v>1038</v>
      </c>
      <c r="O153" t="s">
        <v>64</v>
      </c>
      <c r="P153" t="s">
        <v>405</v>
      </c>
      <c r="Q153" t="s">
        <v>1039</v>
      </c>
      <c r="R153" t="s">
        <v>1040</v>
      </c>
      <c r="S153">
        <v>3</v>
      </c>
      <c r="T153" s="2">
        <v>0.05</v>
      </c>
      <c r="U153" t="s">
        <v>1041</v>
      </c>
      <c r="V153" t="str">
        <f>CHOOSE(MOD(SalesData[[#This Row],[Row ID]]-1,8)+1,"Aarav Sharma","Ananya Singh","Rohan Verma","Priya Gupta","Arjun Mehta","Neha Kapoor","Rahul Joshi","Sneha Patel")</f>
        <v>Arjun Mehta</v>
      </c>
      <c r="W15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53" s="8">
        <f>IFERROR(VALUE(SUBSTITUTE(SUBSTITUTE(SalesData[[#This Row],[Profit]],"$",""),",",""))/VALUE(SUBSTITUTE(SUBSTITUTE(SalesData[[#This Row],[Sales]],"$",""),",","")),0)</f>
        <v>0.34901815487217491</v>
      </c>
      <c r="Y153" s="6">
        <f>IFERROR(VALUE(SUBSTITUTE(SUBSTITUTE(SalesData[[#This Row],[Sales]],"$",""),",",""))/SalesData[[#This Row],[Quantity]],0)</f>
        <v>17.993333333333332</v>
      </c>
      <c r="Z153">
        <f>YEAR(SalesData[[#This Row],[Order Date]])</f>
        <v>2022</v>
      </c>
      <c r="AA153" t="str">
        <f>TEXT(SalesData[[#This Row],[Order Date]],"mmm")</f>
        <v>Nov</v>
      </c>
      <c r="AB15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54" spans="1:28">
      <c r="A154">
        <v>284</v>
      </c>
      <c r="B154" t="s">
        <v>1042</v>
      </c>
      <c r="C154" s="1">
        <v>44867</v>
      </c>
      <c r="D154" s="1">
        <v>44869</v>
      </c>
      <c r="E154" t="s">
        <v>36</v>
      </c>
      <c r="F154" t="s">
        <v>1043</v>
      </c>
      <c r="G154" t="s">
        <v>1044</v>
      </c>
      <c r="H154" t="s">
        <v>25</v>
      </c>
      <c r="I154" t="s">
        <v>26</v>
      </c>
      <c r="J154" t="s">
        <v>173</v>
      </c>
      <c r="K154" t="s">
        <v>173</v>
      </c>
      <c r="L154">
        <v>28610</v>
      </c>
      <c r="M154" t="s">
        <v>73</v>
      </c>
      <c r="N154" t="s">
        <v>1045</v>
      </c>
      <c r="O154" t="s">
        <v>64</v>
      </c>
      <c r="P154" t="s">
        <v>136</v>
      </c>
      <c r="Q154" t="s">
        <v>1046</v>
      </c>
      <c r="R154" t="s">
        <v>1047</v>
      </c>
      <c r="S154">
        <v>6</v>
      </c>
      <c r="T154" s="2">
        <v>0.2</v>
      </c>
      <c r="U154" t="s">
        <v>1048</v>
      </c>
      <c r="V154" t="str">
        <f>CHOOSE(MOD(SalesData[[#This Row],[Row ID]]-1,8)+1,"Aarav Sharma","Ananya Singh","Rohan Verma","Priya Gupta","Arjun Mehta","Neha Kapoor","Rahul Joshi","Sneha Patel")</f>
        <v>Priya Gupta</v>
      </c>
      <c r="W15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54" s="8">
        <f>IFERROR(VALUE(SUBSTITUTE(SUBSTITUTE(SalesData[[#This Row],[Profit]],"$",""),",",""))/VALUE(SUBSTITUTE(SUBSTITUTE(SalesData[[#This Row],[Sales]],"$",""),",","")),0)</f>
        <v>0.18892001244942422</v>
      </c>
      <c r="Y154" s="6">
        <f>IFERROR(VALUE(SUBSTITUTE(SUBSTITUTE(SalesData[[#This Row],[Sales]],"$",""),",",""))/SalesData[[#This Row],[Quantity]],0)</f>
        <v>10.71</v>
      </c>
      <c r="Z154">
        <f>YEAR(SalesData[[#This Row],[Order Date]])</f>
        <v>2022</v>
      </c>
      <c r="AA154" t="str">
        <f>TEXT(SalesData[[#This Row],[Order Date]],"mmm")</f>
        <v>Nov</v>
      </c>
      <c r="AB15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55" spans="1:28">
      <c r="A155">
        <v>517</v>
      </c>
      <c r="B155" t="s">
        <v>1049</v>
      </c>
      <c r="C155" s="1">
        <v>44869</v>
      </c>
      <c r="D155" s="1">
        <v>44873</v>
      </c>
      <c r="E155" t="s">
        <v>49</v>
      </c>
      <c r="F155" t="s">
        <v>1050</v>
      </c>
      <c r="G155" t="s">
        <v>640</v>
      </c>
      <c r="H155" t="s">
        <v>39</v>
      </c>
      <c r="I155" t="s">
        <v>26</v>
      </c>
      <c r="J155" t="s">
        <v>157</v>
      </c>
      <c r="K155" t="s">
        <v>157</v>
      </c>
      <c r="L155">
        <v>92001</v>
      </c>
      <c r="M155" t="s">
        <v>62</v>
      </c>
      <c r="N155" t="s">
        <v>1051</v>
      </c>
      <c r="O155" t="s">
        <v>64</v>
      </c>
      <c r="P155" t="s">
        <v>65</v>
      </c>
      <c r="Q155" t="s">
        <v>1052</v>
      </c>
      <c r="R155" t="s">
        <v>1053</v>
      </c>
      <c r="S155">
        <v>5</v>
      </c>
      <c r="T155" s="2">
        <v>0.3</v>
      </c>
      <c r="U155" t="s">
        <v>1054</v>
      </c>
      <c r="V155" t="str">
        <f>CHOOSE(MOD(SalesData[[#This Row],[Row ID]]-1,8)+1,"Aarav Sharma","Ananya Singh","Rohan Verma","Priya Gupta","Arjun Mehta","Neha Kapoor","Rahul Joshi","Sneha Patel")</f>
        <v>Arjun Mehta</v>
      </c>
      <c r="W15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55" s="8">
        <f>IFERROR(VALUE(SUBSTITUTE(SUBSTITUTE(SalesData[[#This Row],[Profit]],"$",""),",",""))/VALUE(SUBSTITUTE(SUBSTITUTE(SalesData[[#This Row],[Sales]],"$",""),",","")),0)</f>
        <v>-1.125623459545481E-3</v>
      </c>
      <c r="Y155" s="6">
        <f>IFERROR(VALUE(SUBSTITUTE(SUBSTITUTE(SalesData[[#This Row],[Sales]],"$",""),",",""))/SalesData[[#This Row],[Quantity]],0)</f>
        <v>103.054</v>
      </c>
      <c r="Z155">
        <f>YEAR(SalesData[[#This Row],[Order Date]])</f>
        <v>2022</v>
      </c>
      <c r="AA155" t="str">
        <f>TEXT(SalesData[[#This Row],[Order Date]],"mmm")</f>
        <v>Nov</v>
      </c>
      <c r="AB15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56" spans="1:28">
      <c r="A156">
        <v>234</v>
      </c>
      <c r="B156" t="s">
        <v>1055</v>
      </c>
      <c r="C156" s="1">
        <v>44869</v>
      </c>
      <c r="D156" s="1">
        <v>44873</v>
      </c>
      <c r="E156" t="s">
        <v>36</v>
      </c>
      <c r="F156" t="s">
        <v>1056</v>
      </c>
      <c r="G156" t="s">
        <v>236</v>
      </c>
      <c r="H156" t="s">
        <v>60</v>
      </c>
      <c r="I156" t="s">
        <v>26</v>
      </c>
      <c r="J156" t="s">
        <v>301</v>
      </c>
      <c r="K156" t="s">
        <v>301</v>
      </c>
      <c r="L156">
        <v>61148</v>
      </c>
      <c r="M156" t="s">
        <v>73</v>
      </c>
      <c r="N156" t="s">
        <v>1057</v>
      </c>
      <c r="O156" t="s">
        <v>30</v>
      </c>
      <c r="P156" t="s">
        <v>31</v>
      </c>
      <c r="Q156" t="s">
        <v>1058</v>
      </c>
      <c r="R156" t="s">
        <v>1059</v>
      </c>
      <c r="S156">
        <v>7</v>
      </c>
      <c r="T156" s="2">
        <v>0.2</v>
      </c>
      <c r="U156" t="s">
        <v>1060</v>
      </c>
      <c r="V156" t="str">
        <f>CHOOSE(MOD(SalesData[[#This Row],[Row ID]]-1,8)+1,"Aarav Sharma","Ananya Singh","Rohan Verma","Priya Gupta","Arjun Mehta","Neha Kapoor","Rahul Joshi","Sneha Patel")</f>
        <v>Ananya Singh</v>
      </c>
      <c r="W15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56" s="8">
        <f>IFERROR(VALUE(SUBSTITUTE(SUBSTITUTE(SalesData[[#This Row],[Profit]],"$",""),",",""))/VALUE(SUBSTITUTE(SUBSTITUTE(SalesData[[#This Row],[Sales]],"$",""),",","")),0)</f>
        <v>2.8374529728209273E-2</v>
      </c>
      <c r="Y156" s="6">
        <f>IFERROR(VALUE(SUBSTITUTE(SUBSTITUTE(SalesData[[#This Row],[Sales]],"$",""),",",""))/SalesData[[#This Row],[Quantity]],0)</f>
        <v>40.630000000000003</v>
      </c>
      <c r="Z156">
        <f>YEAR(SalesData[[#This Row],[Order Date]])</f>
        <v>2022</v>
      </c>
      <c r="AA156" t="str">
        <f>TEXT(SalesData[[#This Row],[Order Date]],"mmm")</f>
        <v>Nov</v>
      </c>
      <c r="AB15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57" spans="1:28">
      <c r="A157">
        <v>240</v>
      </c>
      <c r="B157" t="s">
        <v>1061</v>
      </c>
      <c r="C157" s="1">
        <v>44869</v>
      </c>
      <c r="D157" s="1">
        <v>44873</v>
      </c>
      <c r="E157" t="s">
        <v>36</v>
      </c>
      <c r="F157" t="s">
        <v>1062</v>
      </c>
      <c r="G157" t="s">
        <v>1063</v>
      </c>
      <c r="H157" t="s">
        <v>60</v>
      </c>
      <c r="I157" t="s">
        <v>26</v>
      </c>
      <c r="J157" t="s">
        <v>72</v>
      </c>
      <c r="K157" t="s">
        <v>72</v>
      </c>
      <c r="L157">
        <v>58003</v>
      </c>
      <c r="M157" t="s">
        <v>73</v>
      </c>
      <c r="N157" t="s">
        <v>1064</v>
      </c>
      <c r="O157" t="s">
        <v>43</v>
      </c>
      <c r="P157" t="s">
        <v>83</v>
      </c>
      <c r="Q157" t="s">
        <v>1065</v>
      </c>
      <c r="R157" t="s">
        <v>1066</v>
      </c>
      <c r="S157">
        <v>3</v>
      </c>
      <c r="T157" s="2">
        <v>0.3</v>
      </c>
      <c r="U157" t="s">
        <v>1067</v>
      </c>
      <c r="V157" t="str">
        <f>CHOOSE(MOD(SalesData[[#This Row],[Row ID]]-1,8)+1,"Aarav Sharma","Ananya Singh","Rohan Verma","Priya Gupta","Arjun Mehta","Neha Kapoor","Rahul Joshi","Sneha Patel")</f>
        <v>Sneha Patel</v>
      </c>
      <c r="W15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57" s="8">
        <f>IFERROR(VALUE(SUBSTITUTE(SUBSTITUTE(SalesData[[#This Row],[Profit]],"$",""),",",""))/VALUE(SUBSTITUTE(SUBSTITUTE(SalesData[[#This Row],[Sales]],"$",""),",","")),0)</f>
        <v>3.4758171868066859E-2</v>
      </c>
      <c r="Y157" s="6">
        <f>IFERROR(VALUE(SUBSTITUTE(SUBSTITUTE(SalesData[[#This Row],[Sales]],"$",""),",",""))/SalesData[[#This Row],[Quantity]],0)</f>
        <v>22.536666666666665</v>
      </c>
      <c r="Z157">
        <f>YEAR(SalesData[[#This Row],[Order Date]])</f>
        <v>2022</v>
      </c>
      <c r="AA157" t="str">
        <f>TEXT(SalesData[[#This Row],[Order Date]],"mmm")</f>
        <v>Nov</v>
      </c>
      <c r="AB15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58" spans="1:28">
      <c r="A158">
        <v>565</v>
      </c>
      <c r="B158" t="s">
        <v>1068</v>
      </c>
      <c r="C158" s="1">
        <v>44870</v>
      </c>
      <c r="D158" s="1">
        <v>44872</v>
      </c>
      <c r="E158" t="s">
        <v>49</v>
      </c>
      <c r="F158" t="s">
        <v>1069</v>
      </c>
      <c r="G158" t="s">
        <v>478</v>
      </c>
      <c r="H158" t="s">
        <v>25</v>
      </c>
      <c r="I158" t="s">
        <v>26</v>
      </c>
      <c r="J158" t="s">
        <v>641</v>
      </c>
      <c r="K158" t="s">
        <v>641</v>
      </c>
      <c r="L158">
        <v>82723</v>
      </c>
      <c r="M158" t="s">
        <v>62</v>
      </c>
      <c r="N158" t="s">
        <v>1070</v>
      </c>
      <c r="O158" t="s">
        <v>64</v>
      </c>
      <c r="P158" t="s">
        <v>65</v>
      </c>
      <c r="Q158" t="s">
        <v>1071</v>
      </c>
      <c r="R158" t="s">
        <v>1072</v>
      </c>
      <c r="S158">
        <v>4</v>
      </c>
      <c r="T158" s="2">
        <v>0.05</v>
      </c>
      <c r="U158" t="s">
        <v>1073</v>
      </c>
      <c r="V158" t="str">
        <f>CHOOSE(MOD(SalesData[[#This Row],[Row ID]]-1,8)+1,"Aarav Sharma","Ananya Singh","Rohan Verma","Priya Gupta","Arjun Mehta","Neha Kapoor","Rahul Joshi","Sneha Patel")</f>
        <v>Arjun Mehta</v>
      </c>
      <c r="W15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58" s="8">
        <f>IFERROR(VALUE(SUBSTITUTE(SUBSTITUTE(SalesData[[#This Row],[Profit]],"$",""),",",""))/VALUE(SUBSTITUTE(SUBSTITUTE(SalesData[[#This Row],[Sales]],"$",""),",","")),0)</f>
        <v>0.25865571644694191</v>
      </c>
      <c r="Y158" s="6">
        <f>IFERROR(VALUE(SUBSTITUTE(SUBSTITUTE(SalesData[[#This Row],[Sales]],"$",""),",",""))/SalesData[[#This Row],[Quantity]],0)</f>
        <v>57.837499999999999</v>
      </c>
      <c r="Z158">
        <f>YEAR(SalesData[[#This Row],[Order Date]])</f>
        <v>2022</v>
      </c>
      <c r="AA158" t="str">
        <f>TEXT(SalesData[[#This Row],[Order Date]],"mmm")</f>
        <v>Nov</v>
      </c>
      <c r="AB15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59" spans="1:28">
      <c r="A159">
        <v>289</v>
      </c>
      <c r="B159" t="s">
        <v>1074</v>
      </c>
      <c r="C159" s="1">
        <v>44874</v>
      </c>
      <c r="D159" s="1">
        <v>44876</v>
      </c>
      <c r="E159" t="s">
        <v>49</v>
      </c>
      <c r="F159" t="s">
        <v>1075</v>
      </c>
      <c r="G159" t="s">
        <v>1076</v>
      </c>
      <c r="H159" t="s">
        <v>25</v>
      </c>
      <c r="I159" t="s">
        <v>26</v>
      </c>
      <c r="J159" t="s">
        <v>260</v>
      </c>
      <c r="K159" t="s">
        <v>260</v>
      </c>
      <c r="L159">
        <v>91720</v>
      </c>
      <c r="M159" t="s">
        <v>41</v>
      </c>
      <c r="N159" t="s">
        <v>1077</v>
      </c>
      <c r="O159" t="s">
        <v>43</v>
      </c>
      <c r="P159" t="s">
        <v>128</v>
      </c>
      <c r="Q159" t="s">
        <v>1078</v>
      </c>
      <c r="R159" t="s">
        <v>1079</v>
      </c>
      <c r="S159">
        <v>6</v>
      </c>
      <c r="T159" s="2">
        <v>0.1</v>
      </c>
      <c r="U159" t="s">
        <v>610</v>
      </c>
      <c r="V159" t="str">
        <f>CHOOSE(MOD(SalesData[[#This Row],[Row ID]]-1,8)+1,"Aarav Sharma","Ananya Singh","Rohan Verma","Priya Gupta","Arjun Mehta","Neha Kapoor","Rahul Joshi","Sneha Patel")</f>
        <v>Aarav Sharma</v>
      </c>
      <c r="W15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59" s="8">
        <f>IFERROR(VALUE(SUBSTITUTE(SUBSTITUTE(SalesData[[#This Row],[Profit]],"$",""),",",""))/VALUE(SUBSTITUTE(SUBSTITUTE(SalesData[[#This Row],[Sales]],"$",""),",","")),0)</f>
        <v>0.10193826274228283</v>
      </c>
      <c r="Y159" s="6">
        <f>IFERROR(VALUE(SUBSTITUTE(SUBSTITUTE(SalesData[[#This Row],[Sales]],"$",""),",",""))/SalesData[[#This Row],[Quantity]],0)</f>
        <v>23.216666666666669</v>
      </c>
      <c r="Z159">
        <f>YEAR(SalesData[[#This Row],[Order Date]])</f>
        <v>2022</v>
      </c>
      <c r="AA159" t="str">
        <f>TEXT(SalesData[[#This Row],[Order Date]],"mmm")</f>
        <v>Nov</v>
      </c>
      <c r="AB15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60" spans="1:28">
      <c r="A160">
        <v>377</v>
      </c>
      <c r="B160" t="s">
        <v>1080</v>
      </c>
      <c r="C160" s="1">
        <v>44874</v>
      </c>
      <c r="D160" s="1">
        <v>44878</v>
      </c>
      <c r="E160" t="s">
        <v>22</v>
      </c>
      <c r="F160" t="s">
        <v>1081</v>
      </c>
      <c r="G160" t="s">
        <v>485</v>
      </c>
      <c r="H160" t="s">
        <v>39</v>
      </c>
      <c r="I160" t="s">
        <v>26</v>
      </c>
      <c r="J160" t="s">
        <v>173</v>
      </c>
      <c r="K160" t="s">
        <v>173</v>
      </c>
      <c r="L160">
        <v>63803</v>
      </c>
      <c r="M160" t="s">
        <v>73</v>
      </c>
      <c r="N160" t="s">
        <v>800</v>
      </c>
      <c r="O160" t="s">
        <v>43</v>
      </c>
      <c r="P160" t="s">
        <v>83</v>
      </c>
      <c r="Q160" t="s">
        <v>1082</v>
      </c>
      <c r="R160" t="s">
        <v>1083</v>
      </c>
      <c r="S160">
        <v>3</v>
      </c>
      <c r="T160" s="2">
        <v>0.2</v>
      </c>
      <c r="U160" t="s">
        <v>1084</v>
      </c>
      <c r="V160" t="str">
        <f>CHOOSE(MOD(SalesData[[#This Row],[Row ID]]-1,8)+1,"Aarav Sharma","Ananya Singh","Rohan Verma","Priya Gupta","Arjun Mehta","Neha Kapoor","Rahul Joshi","Sneha Patel")</f>
        <v>Aarav Sharma</v>
      </c>
      <c r="W16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60" s="8">
        <f>IFERROR(VALUE(SUBSTITUTE(SUBSTITUTE(SalesData[[#This Row],[Profit]],"$",""),",",""))/VALUE(SUBSTITUTE(SUBSTITUTE(SalesData[[#This Row],[Sales]],"$",""),",","")),0)</f>
        <v>4.5929018789144051E-2</v>
      </c>
      <c r="Y160" s="6">
        <f>IFERROR(VALUE(SUBSTITUTE(SUBSTITUTE(SalesData[[#This Row],[Sales]],"$",""),",",""))/SalesData[[#This Row],[Quantity]],0)</f>
        <v>12.773333333333333</v>
      </c>
      <c r="Z160">
        <f>YEAR(SalesData[[#This Row],[Order Date]])</f>
        <v>2022</v>
      </c>
      <c r="AA160" t="str">
        <f>TEXT(SalesData[[#This Row],[Order Date]],"mmm")</f>
        <v>Nov</v>
      </c>
      <c r="AB16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61" spans="1:28">
      <c r="A161">
        <v>429</v>
      </c>
      <c r="B161" t="s">
        <v>1085</v>
      </c>
      <c r="C161" s="1">
        <v>44875</v>
      </c>
      <c r="D161" s="1">
        <v>44876</v>
      </c>
      <c r="E161" t="s">
        <v>36</v>
      </c>
      <c r="F161" t="s">
        <v>1086</v>
      </c>
      <c r="G161" t="s">
        <v>1087</v>
      </c>
      <c r="H161" t="s">
        <v>25</v>
      </c>
      <c r="I161" t="s">
        <v>26</v>
      </c>
      <c r="J161" t="s">
        <v>229</v>
      </c>
      <c r="K161" t="s">
        <v>229</v>
      </c>
      <c r="L161">
        <v>89468</v>
      </c>
      <c r="M161" t="s">
        <v>73</v>
      </c>
      <c r="N161" t="s">
        <v>1088</v>
      </c>
      <c r="O161" t="s">
        <v>64</v>
      </c>
      <c r="P161" t="s">
        <v>405</v>
      </c>
      <c r="Q161" t="s">
        <v>947</v>
      </c>
      <c r="R161" t="s">
        <v>1089</v>
      </c>
      <c r="S161">
        <v>3</v>
      </c>
      <c r="T161" s="2">
        <v>0.2</v>
      </c>
      <c r="U161" t="s">
        <v>1090</v>
      </c>
      <c r="V161" t="str">
        <f>CHOOSE(MOD(SalesData[[#This Row],[Row ID]]-1,8)+1,"Aarav Sharma","Ananya Singh","Rohan Verma","Priya Gupta","Arjun Mehta","Neha Kapoor","Rahul Joshi","Sneha Patel")</f>
        <v>Arjun Mehta</v>
      </c>
      <c r="W16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61" s="8">
        <f>IFERROR(VALUE(SUBSTITUTE(SUBSTITUTE(SalesData[[#This Row],[Profit]],"$",""),",",""))/VALUE(SUBSTITUTE(SUBSTITUTE(SalesData[[#This Row],[Sales]],"$",""),",","")),0)</f>
        <v>0.12000582199257695</v>
      </c>
      <c r="Y161" s="6">
        <f>IFERROR(VALUE(SUBSTITUTE(SUBSTITUTE(SalesData[[#This Row],[Sales]],"$",""),",",""))/SalesData[[#This Row],[Quantity]],0)</f>
        <v>45.803333333333335</v>
      </c>
      <c r="Z161">
        <f>YEAR(SalesData[[#This Row],[Order Date]])</f>
        <v>2022</v>
      </c>
      <c r="AA161" t="str">
        <f>TEXT(SalesData[[#This Row],[Order Date]],"mmm")</f>
        <v>Nov</v>
      </c>
      <c r="AB16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62" spans="1:28">
      <c r="A162">
        <v>131</v>
      </c>
      <c r="B162" t="s">
        <v>1091</v>
      </c>
      <c r="C162" s="1">
        <v>44875</v>
      </c>
      <c r="D162" s="1">
        <v>44881</v>
      </c>
      <c r="E162" t="s">
        <v>36</v>
      </c>
      <c r="F162" t="s">
        <v>1092</v>
      </c>
      <c r="G162" t="s">
        <v>349</v>
      </c>
      <c r="H162" t="s">
        <v>25</v>
      </c>
      <c r="I162" t="s">
        <v>26</v>
      </c>
      <c r="J162" t="s">
        <v>72</v>
      </c>
      <c r="K162" t="s">
        <v>72</v>
      </c>
      <c r="L162">
        <v>98553</v>
      </c>
      <c r="M162" t="s">
        <v>73</v>
      </c>
      <c r="N162" t="s">
        <v>1093</v>
      </c>
      <c r="O162" t="s">
        <v>43</v>
      </c>
      <c r="P162" t="s">
        <v>128</v>
      </c>
      <c r="Q162" t="s">
        <v>1094</v>
      </c>
      <c r="R162" t="s">
        <v>1095</v>
      </c>
      <c r="S162">
        <v>1</v>
      </c>
      <c r="T162" s="2">
        <v>0</v>
      </c>
      <c r="U162" t="s">
        <v>1096</v>
      </c>
      <c r="V162" t="str">
        <f>CHOOSE(MOD(SalesData[[#This Row],[Row ID]]-1,8)+1,"Aarav Sharma","Ananya Singh","Rohan Verma","Priya Gupta","Arjun Mehta","Neha Kapoor","Rahul Joshi","Sneha Patel")</f>
        <v>Rohan Verma</v>
      </c>
      <c r="W16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62" s="8">
        <f>IFERROR(VALUE(SUBSTITUTE(SUBSTITUTE(SalesData[[#This Row],[Profit]],"$",""),",",""))/VALUE(SUBSTITUTE(SUBSTITUTE(SalesData[[#This Row],[Sales]],"$",""),",","")),0)</f>
        <v>0.26071375242645961</v>
      </c>
      <c r="Y162" s="6">
        <f>IFERROR(VALUE(SUBSTITUTE(SUBSTITUTE(SalesData[[#This Row],[Sales]],"$",""),",",""))/SalesData[[#This Row],[Quantity]],0)</f>
        <v>66.97</v>
      </c>
      <c r="Z162">
        <f>YEAR(SalesData[[#This Row],[Order Date]])</f>
        <v>2022</v>
      </c>
      <c r="AA162" t="str">
        <f>TEXT(SalesData[[#This Row],[Order Date]],"mmm")</f>
        <v>Nov</v>
      </c>
      <c r="AB16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63" spans="1:28">
      <c r="A163">
        <v>47</v>
      </c>
      <c r="B163" t="s">
        <v>1097</v>
      </c>
      <c r="C163" s="1">
        <v>44879</v>
      </c>
      <c r="D163" s="1">
        <v>44883</v>
      </c>
      <c r="E163" t="s">
        <v>36</v>
      </c>
      <c r="F163" t="s">
        <v>1098</v>
      </c>
      <c r="G163" t="s">
        <v>103</v>
      </c>
      <c r="H163" t="s">
        <v>60</v>
      </c>
      <c r="I163" t="s">
        <v>26</v>
      </c>
      <c r="J163" t="s">
        <v>157</v>
      </c>
      <c r="K163" t="s">
        <v>157</v>
      </c>
      <c r="L163">
        <v>98861</v>
      </c>
      <c r="M163" t="s">
        <v>62</v>
      </c>
      <c r="N163" t="s">
        <v>690</v>
      </c>
      <c r="O163" t="s">
        <v>30</v>
      </c>
      <c r="P163" t="s">
        <v>120</v>
      </c>
      <c r="Q163" t="s">
        <v>1099</v>
      </c>
      <c r="R163" t="s">
        <v>1100</v>
      </c>
      <c r="S163">
        <v>6</v>
      </c>
      <c r="T163" s="2">
        <v>0</v>
      </c>
      <c r="U163" t="s">
        <v>1101</v>
      </c>
      <c r="V163" t="str">
        <f>CHOOSE(MOD(SalesData[[#This Row],[Row ID]]-1,8)+1,"Aarav Sharma","Ananya Singh","Rohan Verma","Priya Gupta","Arjun Mehta","Neha Kapoor","Rahul Joshi","Sneha Patel")</f>
        <v>Rahul Joshi</v>
      </c>
      <c r="W16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63" s="8">
        <f>IFERROR(VALUE(SUBSTITUTE(SUBSTITUTE(SalesData[[#This Row],[Profit]],"$",""),",",""))/VALUE(SUBSTITUTE(SUBSTITUTE(SalesData[[#This Row],[Sales]],"$",""),",","")),0)</f>
        <v>0.2010484722819921</v>
      </c>
      <c r="Y163" s="6">
        <f>IFERROR(VALUE(SUBSTITUTE(SUBSTITUTE(SalesData[[#This Row],[Sales]],"$",""),",",""))/SalesData[[#This Row],[Quantity]],0)</f>
        <v>42.601666666666667</v>
      </c>
      <c r="Z163">
        <f>YEAR(SalesData[[#This Row],[Order Date]])</f>
        <v>2022</v>
      </c>
      <c r="AA163" t="str">
        <f>TEXT(SalesData[[#This Row],[Order Date]],"mmm")</f>
        <v>Nov</v>
      </c>
      <c r="AB16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64" spans="1:28">
      <c r="A164">
        <v>520</v>
      </c>
      <c r="B164" t="s">
        <v>1102</v>
      </c>
      <c r="C164" s="1">
        <v>44880</v>
      </c>
      <c r="D164" s="1">
        <v>44884</v>
      </c>
      <c r="E164" t="s">
        <v>36</v>
      </c>
      <c r="F164" t="s">
        <v>1103</v>
      </c>
      <c r="G164" t="s">
        <v>683</v>
      </c>
      <c r="H164" t="s">
        <v>39</v>
      </c>
      <c r="I164" t="s">
        <v>26</v>
      </c>
      <c r="J164" t="s">
        <v>363</v>
      </c>
      <c r="K164" t="s">
        <v>363</v>
      </c>
      <c r="L164">
        <v>22150</v>
      </c>
      <c r="M164" t="s">
        <v>62</v>
      </c>
      <c r="N164" t="s">
        <v>1104</v>
      </c>
      <c r="O164" t="s">
        <v>43</v>
      </c>
      <c r="P164" t="s">
        <v>83</v>
      </c>
      <c r="Q164" t="s">
        <v>1105</v>
      </c>
      <c r="R164" t="s">
        <v>1106</v>
      </c>
      <c r="S164">
        <v>2</v>
      </c>
      <c r="T164" s="2">
        <v>0</v>
      </c>
      <c r="U164" t="s">
        <v>1107</v>
      </c>
      <c r="V164" t="str">
        <f>CHOOSE(MOD(SalesData[[#This Row],[Row ID]]-1,8)+1,"Aarav Sharma","Ananya Singh","Rohan Verma","Priya Gupta","Arjun Mehta","Neha Kapoor","Rahul Joshi","Sneha Patel")</f>
        <v>Sneha Patel</v>
      </c>
      <c r="W16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64" s="8">
        <f>IFERROR(VALUE(SUBSTITUTE(SUBSTITUTE(SalesData[[#This Row],[Profit]],"$",""),",",""))/VALUE(SUBSTITUTE(SUBSTITUTE(SalesData[[#This Row],[Sales]],"$",""),",","")),0)</f>
        <v>0.2555143815069702</v>
      </c>
      <c r="Y164" s="6">
        <f>IFERROR(VALUE(SUBSTITUTE(SUBSTITUTE(SalesData[[#This Row],[Sales]],"$",""),",",""))/SalesData[[#This Row],[Quantity]],0)</f>
        <v>28.335000000000001</v>
      </c>
      <c r="Z164">
        <f>YEAR(SalesData[[#This Row],[Order Date]])</f>
        <v>2022</v>
      </c>
      <c r="AA164" t="str">
        <f>TEXT(SalesData[[#This Row],[Order Date]],"mmm")</f>
        <v>Nov</v>
      </c>
      <c r="AB16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65" spans="1:28">
      <c r="A165">
        <v>46</v>
      </c>
      <c r="B165" t="s">
        <v>1108</v>
      </c>
      <c r="C165" s="1">
        <v>44881</v>
      </c>
      <c r="D165" s="1">
        <v>44883</v>
      </c>
      <c r="E165" t="s">
        <v>49</v>
      </c>
      <c r="F165" t="s">
        <v>1109</v>
      </c>
      <c r="G165" t="s">
        <v>1110</v>
      </c>
      <c r="H165" t="s">
        <v>25</v>
      </c>
      <c r="I165" t="s">
        <v>26</v>
      </c>
      <c r="J165" t="s">
        <v>81</v>
      </c>
      <c r="K165" t="s">
        <v>81</v>
      </c>
      <c r="L165">
        <v>89767</v>
      </c>
      <c r="M165" t="s">
        <v>62</v>
      </c>
      <c r="N165" t="s">
        <v>1111</v>
      </c>
      <c r="O165" t="s">
        <v>30</v>
      </c>
      <c r="P165" t="s">
        <v>120</v>
      </c>
      <c r="Q165" t="s">
        <v>1112</v>
      </c>
      <c r="R165" t="s">
        <v>1113</v>
      </c>
      <c r="S165">
        <v>5</v>
      </c>
      <c r="T165" s="2">
        <v>0</v>
      </c>
      <c r="U165" t="s">
        <v>1114</v>
      </c>
      <c r="V165" t="str">
        <f>CHOOSE(MOD(SalesData[[#This Row],[Row ID]]-1,8)+1,"Aarav Sharma","Ananya Singh","Rohan Verma","Priya Gupta","Arjun Mehta","Neha Kapoor","Rahul Joshi","Sneha Patel")</f>
        <v>Neha Kapoor</v>
      </c>
      <c r="W16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65" s="8">
        <f>IFERROR(VALUE(SUBSTITUTE(SUBSTITUTE(SalesData[[#This Row],[Profit]],"$",""),",",""))/VALUE(SUBSTITUTE(SUBSTITUTE(SalesData[[#This Row],[Sales]],"$",""),",","")),0)</f>
        <v>0.14793199695508752</v>
      </c>
      <c r="Y165" s="6">
        <f>IFERROR(VALUE(SUBSTITUTE(SUBSTITUTE(SalesData[[#This Row],[Sales]],"$",""),",",""))/SalesData[[#This Row],[Quantity]],0)</f>
        <v>47.292000000000002</v>
      </c>
      <c r="Z165">
        <f>YEAR(SalesData[[#This Row],[Order Date]])</f>
        <v>2022</v>
      </c>
      <c r="AA165" t="str">
        <f>TEXT(SalesData[[#This Row],[Order Date]],"mmm")</f>
        <v>Nov</v>
      </c>
      <c r="AB16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66" spans="1:28">
      <c r="A166">
        <v>310</v>
      </c>
      <c r="B166" t="s">
        <v>1115</v>
      </c>
      <c r="C166" s="1">
        <v>44882</v>
      </c>
      <c r="D166" s="1">
        <v>44888</v>
      </c>
      <c r="E166" t="s">
        <v>22</v>
      </c>
      <c r="F166" t="s">
        <v>1116</v>
      </c>
      <c r="G166" t="s">
        <v>1117</v>
      </c>
      <c r="H166" t="s">
        <v>25</v>
      </c>
      <c r="I166" t="s">
        <v>26</v>
      </c>
      <c r="J166" t="s">
        <v>245</v>
      </c>
      <c r="K166" t="s">
        <v>245</v>
      </c>
      <c r="L166">
        <v>14011</v>
      </c>
      <c r="M166" t="s">
        <v>41</v>
      </c>
      <c r="N166" t="s">
        <v>330</v>
      </c>
      <c r="O166" t="s">
        <v>64</v>
      </c>
      <c r="P166" t="s">
        <v>105</v>
      </c>
      <c r="Q166" t="s">
        <v>1118</v>
      </c>
      <c r="R166" t="s">
        <v>1119</v>
      </c>
      <c r="S166">
        <v>3</v>
      </c>
      <c r="T166" s="2">
        <v>0</v>
      </c>
      <c r="U166" t="s">
        <v>1120</v>
      </c>
      <c r="V166" t="str">
        <f>CHOOSE(MOD(SalesData[[#This Row],[Row ID]]-1,8)+1,"Aarav Sharma","Ananya Singh","Rohan Verma","Priya Gupta","Arjun Mehta","Neha Kapoor","Rahul Joshi","Sneha Patel")</f>
        <v>Neha Kapoor</v>
      </c>
      <c r="W16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66" s="8">
        <f>IFERROR(VALUE(SUBSTITUTE(SUBSTITUTE(SalesData[[#This Row],[Profit]],"$",""),",",""))/VALUE(SUBSTITUTE(SUBSTITUTE(SalesData[[#This Row],[Sales]],"$",""),",","")),0)</f>
        <v>0.25808521777312415</v>
      </c>
      <c r="Y166" s="6">
        <f>IFERROR(VALUE(SUBSTITUTE(SUBSTITUTE(SalesData[[#This Row],[Sales]],"$",""),",",""))/SalesData[[#This Row],[Quantity]],0)</f>
        <v>197.37666666666667</v>
      </c>
      <c r="Z166">
        <f>YEAR(SalesData[[#This Row],[Order Date]])</f>
        <v>2022</v>
      </c>
      <c r="AA166" t="str">
        <f>TEXT(SalesData[[#This Row],[Order Date]],"mmm")</f>
        <v>Nov</v>
      </c>
      <c r="AB16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67" spans="1:28">
      <c r="A167">
        <v>432</v>
      </c>
      <c r="B167" t="s">
        <v>1121</v>
      </c>
      <c r="C167" s="1">
        <v>44882</v>
      </c>
      <c r="D167" s="1">
        <v>44884</v>
      </c>
      <c r="E167" t="s">
        <v>36</v>
      </c>
      <c r="F167" t="s">
        <v>1122</v>
      </c>
      <c r="G167" t="s">
        <v>1123</v>
      </c>
      <c r="H167" t="s">
        <v>39</v>
      </c>
      <c r="I167" t="s">
        <v>26</v>
      </c>
      <c r="J167" t="s">
        <v>245</v>
      </c>
      <c r="K167" t="s">
        <v>245</v>
      </c>
      <c r="L167">
        <v>95853</v>
      </c>
      <c r="M167" t="s">
        <v>41</v>
      </c>
      <c r="N167" t="s">
        <v>1124</v>
      </c>
      <c r="O167" t="s">
        <v>30</v>
      </c>
      <c r="P167" t="s">
        <v>31</v>
      </c>
      <c r="Q167" t="s">
        <v>386</v>
      </c>
      <c r="R167" t="s">
        <v>1125</v>
      </c>
      <c r="S167">
        <v>3</v>
      </c>
      <c r="T167" s="2">
        <v>0.05</v>
      </c>
      <c r="U167" t="s">
        <v>1126</v>
      </c>
      <c r="V167" t="str">
        <f>CHOOSE(MOD(SalesData[[#This Row],[Row ID]]-1,8)+1,"Aarav Sharma","Ananya Singh","Rohan Verma","Priya Gupta","Arjun Mehta","Neha Kapoor","Rahul Joshi","Sneha Patel")</f>
        <v>Sneha Patel</v>
      </c>
      <c r="W16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67" s="8">
        <f>IFERROR(VALUE(SUBSTITUTE(SUBSTITUTE(SalesData[[#This Row],[Profit]],"$",""),",",""))/VALUE(SUBSTITUTE(SUBSTITUTE(SalesData[[#This Row],[Sales]],"$",""),",","")),0)</f>
        <v>0.13320948154264284</v>
      </c>
      <c r="Y167" s="6">
        <f>IFERROR(VALUE(SUBSTITUTE(SUBSTITUTE(SalesData[[#This Row],[Sales]],"$",""),",",""))/SalesData[[#This Row],[Quantity]],0)</f>
        <v>96.89</v>
      </c>
      <c r="Z167">
        <f>YEAR(SalesData[[#This Row],[Order Date]])</f>
        <v>2022</v>
      </c>
      <c r="AA167" t="str">
        <f>TEXT(SalesData[[#This Row],[Order Date]],"mmm")</f>
        <v>Nov</v>
      </c>
      <c r="AB16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68" spans="1:28">
      <c r="A168">
        <v>383</v>
      </c>
      <c r="B168" t="s">
        <v>1127</v>
      </c>
      <c r="C168" s="1">
        <v>44884</v>
      </c>
      <c r="D168" s="1">
        <v>44887</v>
      </c>
      <c r="E168" t="s">
        <v>36</v>
      </c>
      <c r="F168" t="s">
        <v>1128</v>
      </c>
      <c r="G168" t="s">
        <v>1012</v>
      </c>
      <c r="H168" t="s">
        <v>60</v>
      </c>
      <c r="I168" t="s">
        <v>26</v>
      </c>
      <c r="J168" t="s">
        <v>301</v>
      </c>
      <c r="K168" t="s">
        <v>301</v>
      </c>
      <c r="L168">
        <v>42463</v>
      </c>
      <c r="M168" t="s">
        <v>73</v>
      </c>
      <c r="N168" t="s">
        <v>1129</v>
      </c>
      <c r="O168" t="s">
        <v>30</v>
      </c>
      <c r="P168" t="s">
        <v>31</v>
      </c>
      <c r="Q168" t="s">
        <v>1130</v>
      </c>
      <c r="R168" t="s">
        <v>1131</v>
      </c>
      <c r="S168">
        <v>3</v>
      </c>
      <c r="T168" s="2">
        <v>0</v>
      </c>
      <c r="U168" t="s">
        <v>1132</v>
      </c>
      <c r="V168" t="str">
        <f>CHOOSE(MOD(SalesData[[#This Row],[Row ID]]-1,8)+1,"Aarav Sharma","Ananya Singh","Rohan Verma","Priya Gupta","Arjun Mehta","Neha Kapoor","Rahul Joshi","Sneha Patel")</f>
        <v>Rahul Joshi</v>
      </c>
      <c r="W16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68" s="8">
        <f>IFERROR(VALUE(SUBSTITUTE(SUBSTITUTE(SalesData[[#This Row],[Profit]],"$",""),",",""))/VALUE(SUBSTITUTE(SUBSTITUTE(SalesData[[#This Row],[Sales]],"$",""),",","")),0)</f>
        <v>0.14553229135948098</v>
      </c>
      <c r="Y168" s="6">
        <f>IFERROR(VALUE(SUBSTITUTE(SUBSTITUTE(SalesData[[#This Row],[Sales]],"$",""),",",""))/SalesData[[#This Row],[Quantity]],0)</f>
        <v>22.606666666666666</v>
      </c>
      <c r="Z168">
        <f>YEAR(SalesData[[#This Row],[Order Date]])</f>
        <v>2022</v>
      </c>
      <c r="AA168" t="str">
        <f>TEXT(SalesData[[#This Row],[Order Date]],"mmm")</f>
        <v>Nov</v>
      </c>
      <c r="AB16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69" spans="1:28">
      <c r="A169">
        <v>405</v>
      </c>
      <c r="B169" t="s">
        <v>1133</v>
      </c>
      <c r="C169" s="1">
        <v>44885</v>
      </c>
      <c r="D169" s="1">
        <v>44888</v>
      </c>
      <c r="E169" t="s">
        <v>36</v>
      </c>
      <c r="F169" t="s">
        <v>1134</v>
      </c>
      <c r="G169" t="s">
        <v>541</v>
      </c>
      <c r="H169" t="s">
        <v>60</v>
      </c>
      <c r="I169" t="s">
        <v>26</v>
      </c>
      <c r="J169" t="s">
        <v>245</v>
      </c>
      <c r="K169" t="s">
        <v>245</v>
      </c>
      <c r="L169">
        <v>33290</v>
      </c>
      <c r="M169" t="s">
        <v>41</v>
      </c>
      <c r="N169" t="s">
        <v>1135</v>
      </c>
      <c r="O169" t="s">
        <v>64</v>
      </c>
      <c r="P169" t="s">
        <v>405</v>
      </c>
      <c r="Q169" t="s">
        <v>1136</v>
      </c>
      <c r="R169" t="s">
        <v>1137</v>
      </c>
      <c r="S169">
        <v>2</v>
      </c>
      <c r="T169" s="2">
        <v>0.3</v>
      </c>
      <c r="U169" t="s">
        <v>1138</v>
      </c>
      <c r="V169" t="str">
        <f>CHOOSE(MOD(SalesData[[#This Row],[Row ID]]-1,8)+1,"Aarav Sharma","Ananya Singh","Rohan Verma","Priya Gupta","Arjun Mehta","Neha Kapoor","Rahul Joshi","Sneha Patel")</f>
        <v>Arjun Mehta</v>
      </c>
      <c r="W16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69" s="8">
        <f>IFERROR(VALUE(SUBSTITUTE(SUBSTITUTE(SalesData[[#This Row],[Profit]],"$",""),",",""))/VALUE(SUBSTITUTE(SUBSTITUTE(SalesData[[#This Row],[Sales]],"$",""),",","")),0)</f>
        <v>-8.9630857986928825E-2</v>
      </c>
      <c r="Y169" s="6">
        <f>IFERROR(VALUE(SUBSTITUTE(SUBSTITUTE(SalesData[[#This Row],[Sales]],"$",""),",",""))/SalesData[[#This Row],[Quantity]],0)</f>
        <v>358.80500000000001</v>
      </c>
      <c r="Z169">
        <f>YEAR(SalesData[[#This Row],[Order Date]])</f>
        <v>2022</v>
      </c>
      <c r="AA169" t="str">
        <f>TEXT(SalesData[[#This Row],[Order Date]],"mmm")</f>
        <v>Nov</v>
      </c>
      <c r="AB16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70" spans="1:28">
      <c r="A170">
        <v>297</v>
      </c>
      <c r="B170" t="s">
        <v>1139</v>
      </c>
      <c r="C170" s="1">
        <v>44885</v>
      </c>
      <c r="D170" s="1">
        <v>44889</v>
      </c>
      <c r="E170" t="s">
        <v>49</v>
      </c>
      <c r="F170" t="s">
        <v>1140</v>
      </c>
      <c r="G170" t="s">
        <v>451</v>
      </c>
      <c r="H170" t="s">
        <v>25</v>
      </c>
      <c r="I170" t="s">
        <v>26</v>
      </c>
      <c r="J170" t="s">
        <v>27</v>
      </c>
      <c r="K170" t="s">
        <v>27</v>
      </c>
      <c r="L170">
        <v>46561</v>
      </c>
      <c r="M170" t="s">
        <v>28</v>
      </c>
      <c r="N170" t="s">
        <v>1141</v>
      </c>
      <c r="O170" t="s">
        <v>64</v>
      </c>
      <c r="P170" t="s">
        <v>405</v>
      </c>
      <c r="Q170" t="s">
        <v>1142</v>
      </c>
      <c r="R170" t="s">
        <v>1143</v>
      </c>
      <c r="S170">
        <v>7</v>
      </c>
      <c r="T170" s="2">
        <v>0.1</v>
      </c>
      <c r="U170" t="s">
        <v>1144</v>
      </c>
      <c r="V170" t="str">
        <f>CHOOSE(MOD(SalesData[[#This Row],[Row ID]]-1,8)+1,"Aarav Sharma","Ananya Singh","Rohan Verma","Priya Gupta","Arjun Mehta","Neha Kapoor","Rahul Joshi","Sneha Patel")</f>
        <v>Aarav Sharma</v>
      </c>
      <c r="W17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70" s="8">
        <f>IFERROR(VALUE(SUBSTITUTE(SUBSTITUTE(SalesData[[#This Row],[Profit]],"$",""),",",""))/VALUE(SUBSTITUTE(SUBSTITUTE(SalesData[[#This Row],[Sales]],"$",""),",","")),0)</f>
        <v>0.13788512742487638</v>
      </c>
      <c r="Y170" s="6">
        <f>IFERROR(VALUE(SUBSTITUTE(SUBSTITUTE(SalesData[[#This Row],[Sales]],"$",""),",",""))/SalesData[[#This Row],[Quantity]],0)</f>
        <v>7.5114285714285716</v>
      </c>
      <c r="Z170">
        <f>YEAR(SalesData[[#This Row],[Order Date]])</f>
        <v>2022</v>
      </c>
      <c r="AA170" t="str">
        <f>TEXT(SalesData[[#This Row],[Order Date]],"mmm")</f>
        <v>Nov</v>
      </c>
      <c r="AB17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71" spans="1:28">
      <c r="A171">
        <v>353</v>
      </c>
      <c r="B171" t="s">
        <v>1145</v>
      </c>
      <c r="C171" s="1">
        <v>44885</v>
      </c>
      <c r="D171" s="1">
        <v>44887</v>
      </c>
      <c r="E171" t="s">
        <v>36</v>
      </c>
      <c r="F171" t="s">
        <v>1146</v>
      </c>
      <c r="G171" t="s">
        <v>1147</v>
      </c>
      <c r="H171" t="s">
        <v>25</v>
      </c>
      <c r="I171" t="s">
        <v>26</v>
      </c>
      <c r="J171" t="s">
        <v>212</v>
      </c>
      <c r="K171" t="s">
        <v>212</v>
      </c>
      <c r="L171">
        <v>61024</v>
      </c>
      <c r="M171" t="s">
        <v>28</v>
      </c>
      <c r="N171" t="s">
        <v>1148</v>
      </c>
      <c r="O171" t="s">
        <v>43</v>
      </c>
      <c r="P171" t="s">
        <v>166</v>
      </c>
      <c r="Q171" t="s">
        <v>1149</v>
      </c>
      <c r="R171" t="s">
        <v>1150</v>
      </c>
      <c r="S171">
        <v>6</v>
      </c>
      <c r="T171" s="2">
        <v>0</v>
      </c>
      <c r="U171" t="s">
        <v>1151</v>
      </c>
      <c r="V171" t="str">
        <f>CHOOSE(MOD(SalesData[[#This Row],[Row ID]]-1,8)+1,"Aarav Sharma","Ananya Singh","Rohan Verma","Priya Gupta","Arjun Mehta","Neha Kapoor","Rahul Joshi","Sneha Patel")</f>
        <v>Aarav Sharma</v>
      </c>
      <c r="W17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71" s="8">
        <f>IFERROR(VALUE(SUBSTITUTE(SUBSTITUTE(SalesData[[#This Row],[Profit]],"$",""),",",""))/VALUE(SUBSTITUTE(SUBSTITUTE(SalesData[[#This Row],[Sales]],"$",""),",","")),0)</f>
        <v>0.16579049844236762</v>
      </c>
      <c r="Y171" s="6">
        <f>IFERROR(VALUE(SUBSTITUTE(SUBSTITUTE(SalesData[[#This Row],[Sales]],"$",""),",",""))/SalesData[[#This Row],[Quantity]],0)</f>
        <v>17.12</v>
      </c>
      <c r="Z171">
        <f>YEAR(SalesData[[#This Row],[Order Date]])</f>
        <v>2022</v>
      </c>
      <c r="AA171" t="str">
        <f>TEXT(SalesData[[#This Row],[Order Date]],"mmm")</f>
        <v>Nov</v>
      </c>
      <c r="AB17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72" spans="1:28">
      <c r="A172">
        <v>554</v>
      </c>
      <c r="B172" t="s">
        <v>1152</v>
      </c>
      <c r="C172" s="1">
        <v>44891</v>
      </c>
      <c r="D172" s="1">
        <v>44896</v>
      </c>
      <c r="E172" t="s">
        <v>36</v>
      </c>
      <c r="F172" t="s">
        <v>1153</v>
      </c>
      <c r="G172" t="s">
        <v>1154</v>
      </c>
      <c r="H172" t="s">
        <v>60</v>
      </c>
      <c r="I172" t="s">
        <v>26</v>
      </c>
      <c r="J172" t="s">
        <v>40</v>
      </c>
      <c r="K172" t="s">
        <v>40</v>
      </c>
      <c r="L172">
        <v>75169</v>
      </c>
      <c r="M172" t="s">
        <v>41</v>
      </c>
      <c r="N172" t="s">
        <v>1155</v>
      </c>
      <c r="O172" t="s">
        <v>43</v>
      </c>
      <c r="P172" t="s">
        <v>44</v>
      </c>
      <c r="Q172" t="s">
        <v>853</v>
      </c>
      <c r="R172" t="s">
        <v>1156</v>
      </c>
      <c r="S172">
        <v>5</v>
      </c>
      <c r="T172" s="2">
        <v>0.5</v>
      </c>
      <c r="U172" t="s">
        <v>1157</v>
      </c>
      <c r="V172" t="str">
        <f>CHOOSE(MOD(SalesData[[#This Row],[Row ID]]-1,8)+1,"Aarav Sharma","Ananya Singh","Rohan Verma","Priya Gupta","Arjun Mehta","Neha Kapoor","Rahul Joshi","Sneha Patel")</f>
        <v>Ananya Singh</v>
      </c>
      <c r="W17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72" s="8">
        <f>IFERROR(VALUE(SUBSTITUTE(SUBSTITUTE(SalesData[[#This Row],[Profit]],"$",""),",",""))/VALUE(SUBSTITUTE(SUBSTITUTE(SalesData[[#This Row],[Sales]],"$",""),",","")),0)</f>
        <v>-9.7205528846153841E-2</v>
      </c>
      <c r="Y172" s="6">
        <f>IFERROR(VALUE(SUBSTITUTE(SUBSTITUTE(SalesData[[#This Row],[Sales]],"$",""),",",""))/SalesData[[#This Row],[Quantity]],0)</f>
        <v>13.312000000000001</v>
      </c>
      <c r="Z172">
        <f>YEAR(SalesData[[#This Row],[Order Date]])</f>
        <v>2022</v>
      </c>
      <c r="AA172" t="str">
        <f>TEXT(SalesData[[#This Row],[Order Date]],"mmm")</f>
        <v>Nov</v>
      </c>
      <c r="AB17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73" spans="1:28">
      <c r="A173">
        <v>352</v>
      </c>
      <c r="B173" t="s">
        <v>1158</v>
      </c>
      <c r="C173" s="1">
        <v>44893</v>
      </c>
      <c r="D173" s="1">
        <v>44896</v>
      </c>
      <c r="E173" t="s">
        <v>36</v>
      </c>
      <c r="F173" t="s">
        <v>1159</v>
      </c>
      <c r="G173" t="s">
        <v>700</v>
      </c>
      <c r="H173" t="s">
        <v>25</v>
      </c>
      <c r="I173" t="s">
        <v>26</v>
      </c>
      <c r="J173" t="s">
        <v>173</v>
      </c>
      <c r="K173" t="s">
        <v>173</v>
      </c>
      <c r="L173">
        <v>26535</v>
      </c>
      <c r="M173" t="s">
        <v>73</v>
      </c>
      <c r="N173" t="s">
        <v>1160</v>
      </c>
      <c r="O173" t="s">
        <v>43</v>
      </c>
      <c r="P173" t="s">
        <v>128</v>
      </c>
      <c r="Q173" t="s">
        <v>1161</v>
      </c>
      <c r="R173" t="s">
        <v>1162</v>
      </c>
      <c r="S173">
        <v>3</v>
      </c>
      <c r="T173" s="2">
        <v>0.1</v>
      </c>
      <c r="U173" t="s">
        <v>1163</v>
      </c>
      <c r="V173" t="str">
        <f>CHOOSE(MOD(SalesData[[#This Row],[Row ID]]-1,8)+1,"Aarav Sharma","Ananya Singh","Rohan Verma","Priya Gupta","Arjun Mehta","Neha Kapoor","Rahul Joshi","Sneha Patel")</f>
        <v>Sneha Patel</v>
      </c>
      <c r="W17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73" s="8">
        <f>IFERROR(VALUE(SUBSTITUTE(SUBSTITUTE(SalesData[[#This Row],[Profit]],"$",""),",",""))/VALUE(SUBSTITUTE(SUBSTITUTE(SalesData[[#This Row],[Sales]],"$",""),",","")),0)</f>
        <v>0.12607026867434307</v>
      </c>
      <c r="Y173" s="6">
        <f>IFERROR(VALUE(SUBSTITUTE(SUBSTITUTE(SalesData[[#This Row],[Sales]],"$",""),",",""))/SalesData[[#This Row],[Quantity]],0)</f>
        <v>11.29</v>
      </c>
      <c r="Z173">
        <f>YEAR(SalesData[[#This Row],[Order Date]])</f>
        <v>2022</v>
      </c>
      <c r="AA173" t="str">
        <f>TEXT(SalesData[[#This Row],[Order Date]],"mmm")</f>
        <v>Nov</v>
      </c>
      <c r="AB17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74" spans="1:28">
      <c r="A174">
        <v>522</v>
      </c>
      <c r="B174" t="s">
        <v>1164</v>
      </c>
      <c r="C174" s="1">
        <v>44893</v>
      </c>
      <c r="D174" s="1">
        <v>44896</v>
      </c>
      <c r="E174" t="s">
        <v>36</v>
      </c>
      <c r="F174" t="s">
        <v>1165</v>
      </c>
      <c r="G174" t="s">
        <v>1166</v>
      </c>
      <c r="H174" t="s">
        <v>39</v>
      </c>
      <c r="I174" t="s">
        <v>26</v>
      </c>
      <c r="J174" t="s">
        <v>204</v>
      </c>
      <c r="K174" t="s">
        <v>204</v>
      </c>
      <c r="L174">
        <v>26661</v>
      </c>
      <c r="M174" t="s">
        <v>28</v>
      </c>
      <c r="N174" t="s">
        <v>1038</v>
      </c>
      <c r="O174" t="s">
        <v>64</v>
      </c>
      <c r="P174" t="s">
        <v>105</v>
      </c>
      <c r="Q174" t="s">
        <v>1167</v>
      </c>
      <c r="R174" t="s">
        <v>1168</v>
      </c>
      <c r="S174">
        <v>2</v>
      </c>
      <c r="T174" s="2">
        <v>0.1</v>
      </c>
      <c r="U174" t="s">
        <v>1169</v>
      </c>
      <c r="V174" t="str">
        <f>CHOOSE(MOD(SalesData[[#This Row],[Row ID]]-1,8)+1,"Aarav Sharma","Ananya Singh","Rohan Verma","Priya Gupta","Arjun Mehta","Neha Kapoor","Rahul Joshi","Sneha Patel")</f>
        <v>Ananya Singh</v>
      </c>
      <c r="W17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74" s="8">
        <f>IFERROR(VALUE(SUBSTITUTE(SUBSTITUTE(SalesData[[#This Row],[Profit]],"$",""),",",""))/VALUE(SUBSTITUTE(SUBSTITUTE(SalesData[[#This Row],[Sales]],"$",""),",","")),0)</f>
        <v>0.13608254029286423</v>
      </c>
      <c r="Y174" s="6">
        <f>IFERROR(VALUE(SUBSTITUTE(SUBSTITUTE(SalesData[[#This Row],[Sales]],"$",""),",",""))/SalesData[[#This Row],[Quantity]],0)</f>
        <v>156.04499999999999</v>
      </c>
      <c r="Z174">
        <f>YEAR(SalesData[[#This Row],[Order Date]])</f>
        <v>2022</v>
      </c>
      <c r="AA174" t="str">
        <f>TEXT(SalesData[[#This Row],[Order Date]],"mmm")</f>
        <v>Nov</v>
      </c>
      <c r="AB17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75" spans="1:28">
      <c r="A175">
        <v>481</v>
      </c>
      <c r="B175" t="s">
        <v>1170</v>
      </c>
      <c r="C175" s="1">
        <v>44894</v>
      </c>
      <c r="D175" s="1">
        <v>44899</v>
      </c>
      <c r="E175" t="s">
        <v>36</v>
      </c>
      <c r="F175" t="s">
        <v>1171</v>
      </c>
      <c r="G175" t="s">
        <v>775</v>
      </c>
      <c r="H175" t="s">
        <v>39</v>
      </c>
      <c r="I175" t="s">
        <v>26</v>
      </c>
      <c r="J175" t="s">
        <v>212</v>
      </c>
      <c r="K175" t="s">
        <v>212</v>
      </c>
      <c r="L175">
        <v>13770</v>
      </c>
      <c r="M175" t="s">
        <v>28</v>
      </c>
      <c r="N175" t="s">
        <v>1172</v>
      </c>
      <c r="O175" t="s">
        <v>43</v>
      </c>
      <c r="P175" t="s">
        <v>189</v>
      </c>
      <c r="Q175" t="s">
        <v>603</v>
      </c>
      <c r="R175" t="s">
        <v>1173</v>
      </c>
      <c r="S175">
        <v>2</v>
      </c>
      <c r="T175" s="2">
        <v>0</v>
      </c>
      <c r="U175" t="s">
        <v>1174</v>
      </c>
      <c r="V175" t="str">
        <f>CHOOSE(MOD(SalesData[[#This Row],[Row ID]]-1,8)+1,"Aarav Sharma","Ananya Singh","Rohan Verma","Priya Gupta","Arjun Mehta","Neha Kapoor","Rahul Joshi","Sneha Patel")</f>
        <v>Aarav Sharma</v>
      </c>
      <c r="W17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75" s="8">
        <f>IFERROR(VALUE(SUBSTITUTE(SUBSTITUTE(SalesData[[#This Row],[Profit]],"$",""),",",""))/VALUE(SUBSTITUTE(SUBSTITUTE(SalesData[[#This Row],[Sales]],"$",""),",","")),0)</f>
        <v>0.22875000000000001</v>
      </c>
      <c r="Y175" s="6">
        <f>IFERROR(VALUE(SUBSTITUTE(SUBSTITUTE(SalesData[[#This Row],[Sales]],"$",""),",",""))/SalesData[[#This Row],[Quantity]],0)</f>
        <v>4</v>
      </c>
      <c r="Z175">
        <f>YEAR(SalesData[[#This Row],[Order Date]])</f>
        <v>2022</v>
      </c>
      <c r="AA175" t="str">
        <f>TEXT(SalesData[[#This Row],[Order Date]],"mmm")</f>
        <v>Nov</v>
      </c>
      <c r="AB17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76" spans="1:28">
      <c r="A176">
        <v>213</v>
      </c>
      <c r="B176" t="s">
        <v>1175</v>
      </c>
      <c r="C176" s="1">
        <v>44896</v>
      </c>
      <c r="D176" s="1">
        <v>44898</v>
      </c>
      <c r="E176" t="s">
        <v>36</v>
      </c>
      <c r="F176" t="s">
        <v>1176</v>
      </c>
      <c r="G176" t="s">
        <v>1018</v>
      </c>
      <c r="H176" t="s">
        <v>25</v>
      </c>
      <c r="I176" t="s">
        <v>26</v>
      </c>
      <c r="J176" t="s">
        <v>72</v>
      </c>
      <c r="K176" t="s">
        <v>72</v>
      </c>
      <c r="L176">
        <v>74925</v>
      </c>
      <c r="M176" t="s">
        <v>73</v>
      </c>
      <c r="N176" t="s">
        <v>1177</v>
      </c>
      <c r="O176" t="s">
        <v>43</v>
      </c>
      <c r="P176" t="s">
        <v>44</v>
      </c>
      <c r="Q176" t="s">
        <v>90</v>
      </c>
      <c r="R176" t="s">
        <v>1178</v>
      </c>
      <c r="S176">
        <v>4</v>
      </c>
      <c r="T176" s="2">
        <v>0.15</v>
      </c>
      <c r="U176" t="s">
        <v>1179</v>
      </c>
      <c r="V176" t="str">
        <f>CHOOSE(MOD(SalesData[[#This Row],[Row ID]]-1,8)+1,"Aarav Sharma","Ananya Singh","Rohan Verma","Priya Gupta","Arjun Mehta","Neha Kapoor","Rahul Joshi","Sneha Patel")</f>
        <v>Arjun Mehta</v>
      </c>
      <c r="W17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76" s="8">
        <f>IFERROR(VALUE(SUBSTITUTE(SUBSTITUTE(SalesData[[#This Row],[Profit]],"$",""),",",""))/VALUE(SUBSTITUTE(SUBSTITUTE(SalesData[[#This Row],[Sales]],"$",""),",","")),0)</f>
        <v>0.17287192955353003</v>
      </c>
      <c r="Y176" s="6">
        <f>IFERROR(VALUE(SUBSTITUTE(SUBSTITUTE(SalesData[[#This Row],[Sales]],"$",""),",",""))/SalesData[[#This Row],[Quantity]],0)</f>
        <v>16.182500000000001</v>
      </c>
      <c r="Z176">
        <f>YEAR(SalesData[[#This Row],[Order Date]])</f>
        <v>2022</v>
      </c>
      <c r="AA176" t="str">
        <f>TEXT(SalesData[[#This Row],[Order Date]],"mmm")</f>
        <v>Dec</v>
      </c>
      <c r="AB17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77" spans="1:28">
      <c r="A177">
        <v>41</v>
      </c>
      <c r="B177" t="s">
        <v>1180</v>
      </c>
      <c r="C177" s="1">
        <v>44898</v>
      </c>
      <c r="D177" s="1">
        <v>44900</v>
      </c>
      <c r="E177" t="s">
        <v>36</v>
      </c>
      <c r="F177" t="s">
        <v>1181</v>
      </c>
      <c r="G177" t="s">
        <v>541</v>
      </c>
      <c r="H177" t="s">
        <v>25</v>
      </c>
      <c r="I177" t="s">
        <v>26</v>
      </c>
      <c r="J177" t="s">
        <v>229</v>
      </c>
      <c r="K177" t="s">
        <v>229</v>
      </c>
      <c r="L177">
        <v>48638</v>
      </c>
      <c r="M177" t="s">
        <v>73</v>
      </c>
      <c r="N177" t="s">
        <v>1182</v>
      </c>
      <c r="O177" t="s">
        <v>30</v>
      </c>
      <c r="P177" t="s">
        <v>222</v>
      </c>
      <c r="Q177" t="s">
        <v>1183</v>
      </c>
      <c r="R177" t="s">
        <v>1184</v>
      </c>
      <c r="S177">
        <v>6</v>
      </c>
      <c r="T177" s="2">
        <v>0.15</v>
      </c>
      <c r="U177" t="s">
        <v>1185</v>
      </c>
      <c r="V177" t="str">
        <f>CHOOSE(MOD(SalesData[[#This Row],[Row ID]]-1,8)+1,"Aarav Sharma","Ananya Singh","Rohan Verma","Priya Gupta","Arjun Mehta","Neha Kapoor","Rahul Joshi","Sneha Patel")</f>
        <v>Aarav Sharma</v>
      </c>
      <c r="W17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77" s="8">
        <f>IFERROR(VALUE(SUBSTITUTE(SUBSTITUTE(SalesData[[#This Row],[Profit]],"$",""),",",""))/VALUE(SUBSTITUTE(SUBSTITUTE(SalesData[[#This Row],[Sales]],"$",""),",","")),0)</f>
        <v>0.11081630348876595</v>
      </c>
      <c r="Y177" s="6">
        <f>IFERROR(VALUE(SUBSTITUTE(SUBSTITUTE(SalesData[[#This Row],[Sales]],"$",""),",",""))/SalesData[[#This Row],[Quantity]],0)</f>
        <v>29.52333333333333</v>
      </c>
      <c r="Z177">
        <f>YEAR(SalesData[[#This Row],[Order Date]])</f>
        <v>2022</v>
      </c>
      <c r="AA177" t="str">
        <f>TEXT(SalesData[[#This Row],[Order Date]],"mmm")</f>
        <v>Dec</v>
      </c>
      <c r="AB17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78" spans="1:28">
      <c r="A178">
        <v>202</v>
      </c>
      <c r="B178" t="s">
        <v>1186</v>
      </c>
      <c r="C178" s="1">
        <v>44899</v>
      </c>
      <c r="D178" s="1">
        <v>44902</v>
      </c>
      <c r="E178" t="s">
        <v>36</v>
      </c>
      <c r="F178" t="s">
        <v>1187</v>
      </c>
      <c r="G178" t="s">
        <v>525</v>
      </c>
      <c r="H178" t="s">
        <v>25</v>
      </c>
      <c r="I178" t="s">
        <v>26</v>
      </c>
      <c r="J178" t="s">
        <v>237</v>
      </c>
      <c r="K178" t="s">
        <v>237</v>
      </c>
      <c r="L178">
        <v>53516</v>
      </c>
      <c r="M178" t="s">
        <v>41</v>
      </c>
      <c r="N178" t="s">
        <v>1188</v>
      </c>
      <c r="O178" t="s">
        <v>64</v>
      </c>
      <c r="P178" t="s">
        <v>136</v>
      </c>
      <c r="Q178" t="s">
        <v>1189</v>
      </c>
      <c r="R178" t="s">
        <v>1190</v>
      </c>
      <c r="S178">
        <v>3</v>
      </c>
      <c r="T178" s="2">
        <v>0.2</v>
      </c>
      <c r="U178" t="s">
        <v>1191</v>
      </c>
      <c r="V178" t="str">
        <f>CHOOSE(MOD(SalesData[[#This Row],[Row ID]]-1,8)+1,"Aarav Sharma","Ananya Singh","Rohan Verma","Priya Gupta","Arjun Mehta","Neha Kapoor","Rahul Joshi","Sneha Patel")</f>
        <v>Ananya Singh</v>
      </c>
      <c r="W17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78" s="8">
        <f>IFERROR(VALUE(SUBSTITUTE(SUBSTITUTE(SalesData[[#This Row],[Profit]],"$",""),",",""))/VALUE(SUBSTITUTE(SUBSTITUTE(SalesData[[#This Row],[Sales]],"$",""),",","")),0)</f>
        <v>0.14409865916239034</v>
      </c>
      <c r="Y178" s="6">
        <f>IFERROR(VALUE(SUBSTITUTE(SUBSTITUTE(SalesData[[#This Row],[Sales]],"$",""),",",""))/SalesData[[#This Row],[Quantity]],0)</f>
        <v>40.273333333333333</v>
      </c>
      <c r="Z178">
        <f>YEAR(SalesData[[#This Row],[Order Date]])</f>
        <v>2022</v>
      </c>
      <c r="AA178" t="str">
        <f>TEXT(SalesData[[#This Row],[Order Date]],"mmm")</f>
        <v>Dec</v>
      </c>
      <c r="AB17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79" spans="1:28">
      <c r="A179">
        <v>5</v>
      </c>
      <c r="B179" t="s">
        <v>1192</v>
      </c>
      <c r="C179" s="1">
        <v>44899</v>
      </c>
      <c r="D179" s="1">
        <v>44902</v>
      </c>
      <c r="E179" t="s">
        <v>36</v>
      </c>
      <c r="F179" t="s">
        <v>1193</v>
      </c>
      <c r="G179" t="s">
        <v>1194</v>
      </c>
      <c r="H179" t="s">
        <v>39</v>
      </c>
      <c r="I179" t="s">
        <v>26</v>
      </c>
      <c r="J179" t="s">
        <v>212</v>
      </c>
      <c r="K179" t="s">
        <v>212</v>
      </c>
      <c r="L179">
        <v>62251</v>
      </c>
      <c r="M179" t="s">
        <v>28</v>
      </c>
      <c r="N179" t="s">
        <v>1195</v>
      </c>
      <c r="O179" t="s">
        <v>43</v>
      </c>
      <c r="P179" t="s">
        <v>83</v>
      </c>
      <c r="Q179" t="s">
        <v>1196</v>
      </c>
      <c r="R179" t="s">
        <v>1197</v>
      </c>
      <c r="S179">
        <v>1</v>
      </c>
      <c r="T179" s="2">
        <v>0.2</v>
      </c>
      <c r="U179" t="s">
        <v>1198</v>
      </c>
      <c r="V179" t="str">
        <f>CHOOSE(MOD(SalesData[[#This Row],[Row ID]]-1,8)+1,"Aarav Sharma","Ananya Singh","Rohan Verma","Priya Gupta","Arjun Mehta","Neha Kapoor","Rahul Joshi","Sneha Patel")</f>
        <v>Arjun Mehta</v>
      </c>
      <c r="W17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79" s="8">
        <f>IFERROR(VALUE(SUBSTITUTE(SUBSTITUTE(SalesData[[#This Row],[Profit]],"$",""),",",""))/VALUE(SUBSTITUTE(SUBSTITUTE(SalesData[[#This Row],[Sales]],"$",""),",","")),0)</f>
        <v>0.1049915754001685</v>
      </c>
      <c r="Y179" s="6">
        <f>IFERROR(VALUE(SUBSTITUTE(SUBSTITUTE(SalesData[[#This Row],[Sales]],"$",""),",",""))/SalesData[[#This Row],[Quantity]],0)</f>
        <v>94.96</v>
      </c>
      <c r="Z179">
        <f>YEAR(SalesData[[#This Row],[Order Date]])</f>
        <v>2022</v>
      </c>
      <c r="AA179" t="str">
        <f>TEXT(SalesData[[#This Row],[Order Date]],"mmm")</f>
        <v>Dec</v>
      </c>
      <c r="AB17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80" spans="1:28">
      <c r="A180">
        <v>139</v>
      </c>
      <c r="B180" t="s">
        <v>1199</v>
      </c>
      <c r="C180" s="1">
        <v>44899</v>
      </c>
      <c r="D180" s="1">
        <v>44903</v>
      </c>
      <c r="E180" t="s">
        <v>49</v>
      </c>
      <c r="F180" t="s">
        <v>1200</v>
      </c>
      <c r="G180" t="s">
        <v>1201</v>
      </c>
      <c r="H180" t="s">
        <v>39</v>
      </c>
      <c r="I180" t="s">
        <v>26</v>
      </c>
      <c r="J180" t="s">
        <v>72</v>
      </c>
      <c r="K180" t="s">
        <v>72</v>
      </c>
      <c r="L180">
        <v>77494</v>
      </c>
      <c r="M180" t="s">
        <v>73</v>
      </c>
      <c r="N180" t="s">
        <v>1202</v>
      </c>
      <c r="O180" t="s">
        <v>43</v>
      </c>
      <c r="P180" t="s">
        <v>189</v>
      </c>
      <c r="Q180" t="s">
        <v>440</v>
      </c>
      <c r="R180" t="s">
        <v>1203</v>
      </c>
      <c r="S180">
        <v>4</v>
      </c>
      <c r="T180" s="2">
        <v>0.2</v>
      </c>
      <c r="U180" t="s">
        <v>1204</v>
      </c>
      <c r="V180" t="str">
        <f>CHOOSE(MOD(SalesData[[#This Row],[Row ID]]-1,8)+1,"Aarav Sharma","Ananya Singh","Rohan Verma","Priya Gupta","Arjun Mehta","Neha Kapoor","Rahul Joshi","Sneha Patel")</f>
        <v>Rohan Verma</v>
      </c>
      <c r="W18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80" s="8">
        <f>IFERROR(VALUE(SUBSTITUTE(SUBSTITUTE(SalesData[[#This Row],[Profit]],"$",""),",",""))/VALUE(SUBSTITUTE(SUBSTITUTE(SalesData[[#This Row],[Sales]],"$",""),",","")),0)</f>
        <v>8.0637488106565181E-2</v>
      </c>
      <c r="Y180" s="6">
        <f>IFERROR(VALUE(SUBSTITUTE(SUBSTITUTE(SalesData[[#This Row],[Sales]],"$",""),",",""))/SalesData[[#This Row],[Quantity]],0)</f>
        <v>10.51</v>
      </c>
      <c r="Z180">
        <f>YEAR(SalesData[[#This Row],[Order Date]])</f>
        <v>2022</v>
      </c>
      <c r="AA180" t="str">
        <f>TEXT(SalesData[[#This Row],[Order Date]],"mmm")</f>
        <v>Dec</v>
      </c>
      <c r="AB18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81" spans="1:28">
      <c r="A181">
        <v>527</v>
      </c>
      <c r="B181" t="s">
        <v>1205</v>
      </c>
      <c r="C181" s="1">
        <v>44902</v>
      </c>
      <c r="D181" s="1">
        <v>44903</v>
      </c>
      <c r="E181" t="s">
        <v>36</v>
      </c>
      <c r="F181" t="s">
        <v>1206</v>
      </c>
      <c r="G181" t="s">
        <v>869</v>
      </c>
      <c r="H181" t="s">
        <v>25</v>
      </c>
      <c r="I181" t="s">
        <v>26</v>
      </c>
      <c r="J181" t="s">
        <v>245</v>
      </c>
      <c r="K181" t="s">
        <v>245</v>
      </c>
      <c r="L181">
        <v>58926</v>
      </c>
      <c r="M181" t="s">
        <v>41</v>
      </c>
      <c r="N181" t="s">
        <v>323</v>
      </c>
      <c r="O181" t="s">
        <v>30</v>
      </c>
      <c r="P181" t="s">
        <v>31</v>
      </c>
      <c r="Q181" t="s">
        <v>1207</v>
      </c>
      <c r="R181" t="s">
        <v>1208</v>
      </c>
      <c r="S181">
        <v>5</v>
      </c>
      <c r="T181" s="2">
        <v>0.1</v>
      </c>
      <c r="U181" t="s">
        <v>1209</v>
      </c>
      <c r="V181" t="str">
        <f>CHOOSE(MOD(SalesData[[#This Row],[Row ID]]-1,8)+1,"Aarav Sharma","Ananya Singh","Rohan Verma","Priya Gupta","Arjun Mehta","Neha Kapoor","Rahul Joshi","Sneha Patel")</f>
        <v>Rahul Joshi</v>
      </c>
      <c r="W18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81" s="8">
        <f>IFERROR(VALUE(SUBSTITUTE(SUBSTITUTE(SalesData[[#This Row],[Profit]],"$",""),",",""))/VALUE(SUBSTITUTE(SUBSTITUTE(SalesData[[#This Row],[Sales]],"$",""),",","")),0)</f>
        <v>4.9217282404508456E-2</v>
      </c>
      <c r="Y181" s="6">
        <f>IFERROR(VALUE(SUBSTITUTE(SUBSTITUTE(SalesData[[#This Row],[Sales]],"$",""),",",""))/SalesData[[#This Row],[Quantity]],0)</f>
        <v>15.969999999999999</v>
      </c>
      <c r="Z181">
        <f>YEAR(SalesData[[#This Row],[Order Date]])</f>
        <v>2022</v>
      </c>
      <c r="AA181" t="str">
        <f>TEXT(SalesData[[#This Row],[Order Date]],"mmm")</f>
        <v>Dec</v>
      </c>
      <c r="AB18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82" spans="1:28">
      <c r="A182">
        <v>421</v>
      </c>
      <c r="B182" t="s">
        <v>1210</v>
      </c>
      <c r="C182" s="1">
        <v>44905</v>
      </c>
      <c r="D182" s="1">
        <v>44909</v>
      </c>
      <c r="E182" t="s">
        <v>36</v>
      </c>
      <c r="F182" t="s">
        <v>1211</v>
      </c>
      <c r="G182" t="s">
        <v>1212</v>
      </c>
      <c r="H182" t="s">
        <v>25</v>
      </c>
      <c r="I182" t="s">
        <v>26</v>
      </c>
      <c r="J182" t="s">
        <v>212</v>
      </c>
      <c r="K182" t="s">
        <v>212</v>
      </c>
      <c r="L182">
        <v>52406</v>
      </c>
      <c r="M182" t="s">
        <v>28</v>
      </c>
      <c r="N182" t="s">
        <v>1213</v>
      </c>
      <c r="O182" t="s">
        <v>30</v>
      </c>
      <c r="P182" t="s">
        <v>222</v>
      </c>
      <c r="Q182" t="s">
        <v>1214</v>
      </c>
      <c r="R182" t="s">
        <v>1215</v>
      </c>
      <c r="S182">
        <v>7</v>
      </c>
      <c r="T182" s="2">
        <v>0.5</v>
      </c>
      <c r="U182" t="s">
        <v>1216</v>
      </c>
      <c r="V182" t="str">
        <f>CHOOSE(MOD(SalesData[[#This Row],[Row ID]]-1,8)+1,"Aarav Sharma","Ananya Singh","Rohan Verma","Priya Gupta","Arjun Mehta","Neha Kapoor","Rahul Joshi","Sneha Patel")</f>
        <v>Arjun Mehta</v>
      </c>
      <c r="W18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82" s="8">
        <f>IFERROR(VALUE(SUBSTITUTE(SUBSTITUTE(SalesData[[#This Row],[Profit]],"$",""),",",""))/VALUE(SUBSTITUTE(SUBSTITUTE(SalesData[[#This Row],[Sales]],"$",""),",","")),0)</f>
        <v>-0.24001671134630781</v>
      </c>
      <c r="Y182" s="6">
        <f>IFERROR(VALUE(SUBSTITUTE(SUBSTITUTE(SalesData[[#This Row],[Sales]],"$",""),",",""))/SalesData[[#This Row],[Quantity]],0)</f>
        <v>41.032857142857146</v>
      </c>
      <c r="Z182">
        <f>YEAR(SalesData[[#This Row],[Order Date]])</f>
        <v>2022</v>
      </c>
      <c r="AA182" t="str">
        <f>TEXT(SalesData[[#This Row],[Order Date]],"mmm")</f>
        <v>Dec</v>
      </c>
      <c r="AB18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83" spans="1:28">
      <c r="A183">
        <v>491</v>
      </c>
      <c r="B183" t="s">
        <v>1217</v>
      </c>
      <c r="C183" s="1">
        <v>44906</v>
      </c>
      <c r="D183" s="1">
        <v>44908</v>
      </c>
      <c r="E183" t="s">
        <v>36</v>
      </c>
      <c r="F183" t="s">
        <v>1218</v>
      </c>
      <c r="G183" t="s">
        <v>1219</v>
      </c>
      <c r="H183" t="s">
        <v>39</v>
      </c>
      <c r="I183" t="s">
        <v>26</v>
      </c>
      <c r="J183" t="s">
        <v>204</v>
      </c>
      <c r="K183" t="s">
        <v>204</v>
      </c>
      <c r="L183">
        <v>37703</v>
      </c>
      <c r="M183" t="s">
        <v>28</v>
      </c>
      <c r="N183" t="s">
        <v>1220</v>
      </c>
      <c r="O183" t="s">
        <v>43</v>
      </c>
      <c r="P183" t="s">
        <v>214</v>
      </c>
      <c r="Q183" t="s">
        <v>1221</v>
      </c>
      <c r="R183" t="s">
        <v>1222</v>
      </c>
      <c r="S183">
        <v>5</v>
      </c>
      <c r="T183" s="2">
        <v>0.3</v>
      </c>
      <c r="U183" t="s">
        <v>1223</v>
      </c>
      <c r="V183" t="str">
        <f>CHOOSE(MOD(SalesData[[#This Row],[Row ID]]-1,8)+1,"Aarav Sharma","Ananya Singh","Rohan Verma","Priya Gupta","Arjun Mehta","Neha Kapoor","Rahul Joshi","Sneha Patel")</f>
        <v>Rohan Verma</v>
      </c>
      <c r="W18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83" s="8">
        <f>IFERROR(VALUE(SUBSTITUTE(SUBSTITUTE(SalesData[[#This Row],[Profit]],"$",""),",",""))/VALUE(SUBSTITUTE(SUBSTITUTE(SalesData[[#This Row],[Sales]],"$",""),",","")),0)</f>
        <v>-2.6067245938798639E-2</v>
      </c>
      <c r="Y183" s="6">
        <f>IFERROR(VALUE(SUBSTITUTE(SUBSTITUTE(SalesData[[#This Row],[Sales]],"$",""),",",""))/SalesData[[#This Row],[Quantity]],0)</f>
        <v>5.2939999999999996</v>
      </c>
      <c r="Z183">
        <f>YEAR(SalesData[[#This Row],[Order Date]])</f>
        <v>2022</v>
      </c>
      <c r="AA183" t="str">
        <f>TEXT(SalesData[[#This Row],[Order Date]],"mmm")</f>
        <v>Dec</v>
      </c>
      <c r="AB18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84" spans="1:28">
      <c r="A184">
        <v>376</v>
      </c>
      <c r="B184" t="s">
        <v>1224</v>
      </c>
      <c r="C184" s="1">
        <v>44913</v>
      </c>
      <c r="D184" s="1">
        <v>44916</v>
      </c>
      <c r="E184" t="s">
        <v>49</v>
      </c>
      <c r="F184" t="s">
        <v>1225</v>
      </c>
      <c r="G184" t="s">
        <v>1226</v>
      </c>
      <c r="H184" t="s">
        <v>39</v>
      </c>
      <c r="I184" t="s">
        <v>26</v>
      </c>
      <c r="J184" t="s">
        <v>157</v>
      </c>
      <c r="K184" t="s">
        <v>157</v>
      </c>
      <c r="L184">
        <v>47260</v>
      </c>
      <c r="M184" t="s">
        <v>62</v>
      </c>
      <c r="N184" t="s">
        <v>1227</v>
      </c>
      <c r="O184" t="s">
        <v>43</v>
      </c>
      <c r="P184" t="s">
        <v>128</v>
      </c>
      <c r="Q184" t="s">
        <v>911</v>
      </c>
      <c r="R184" t="s">
        <v>1228</v>
      </c>
      <c r="S184">
        <v>2</v>
      </c>
      <c r="T184" s="2">
        <v>0.2</v>
      </c>
      <c r="U184" t="s">
        <v>1229</v>
      </c>
      <c r="V184" t="str">
        <f>CHOOSE(MOD(SalesData[[#This Row],[Row ID]]-1,8)+1,"Aarav Sharma","Ananya Singh","Rohan Verma","Priya Gupta","Arjun Mehta","Neha Kapoor","Rahul Joshi","Sneha Patel")</f>
        <v>Sneha Patel</v>
      </c>
      <c r="W18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84" s="8">
        <f>IFERROR(VALUE(SUBSTITUTE(SUBSTITUTE(SalesData[[#This Row],[Profit]],"$",""),",",""))/VALUE(SUBSTITUTE(SUBSTITUTE(SalesData[[#This Row],[Sales]],"$",""),",","")),0)</f>
        <v>7.6171521621132623E-2</v>
      </c>
      <c r="Y184" s="6">
        <f>IFERROR(VALUE(SUBSTITUTE(SUBSTITUTE(SalesData[[#This Row],[Sales]],"$",""),",",""))/SalesData[[#This Row],[Quantity]],0)</f>
        <v>27.635000000000002</v>
      </c>
      <c r="Z184">
        <f>YEAR(SalesData[[#This Row],[Order Date]])</f>
        <v>2022</v>
      </c>
      <c r="AA184" t="str">
        <f>TEXT(SalesData[[#This Row],[Order Date]],"mmm")</f>
        <v>Dec</v>
      </c>
      <c r="AB18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85" spans="1:28">
      <c r="A185">
        <v>448</v>
      </c>
      <c r="B185" t="s">
        <v>1230</v>
      </c>
      <c r="C185" s="1">
        <v>44913</v>
      </c>
      <c r="D185" s="1">
        <v>44915</v>
      </c>
      <c r="E185" t="s">
        <v>382</v>
      </c>
      <c r="F185" t="s">
        <v>1231</v>
      </c>
      <c r="G185" t="s">
        <v>851</v>
      </c>
      <c r="H185" t="s">
        <v>39</v>
      </c>
      <c r="I185" t="s">
        <v>26</v>
      </c>
      <c r="J185" t="s">
        <v>204</v>
      </c>
      <c r="K185" t="s">
        <v>204</v>
      </c>
      <c r="L185">
        <v>43725</v>
      </c>
      <c r="M185" t="s">
        <v>28</v>
      </c>
      <c r="N185" t="s">
        <v>1232</v>
      </c>
      <c r="O185" t="s">
        <v>30</v>
      </c>
      <c r="P185" t="s">
        <v>31</v>
      </c>
      <c r="Q185" t="s">
        <v>1233</v>
      </c>
      <c r="R185" t="s">
        <v>1234</v>
      </c>
      <c r="S185">
        <v>5</v>
      </c>
      <c r="T185" s="2">
        <v>0.3</v>
      </c>
      <c r="U185" t="s">
        <v>1235</v>
      </c>
      <c r="V185" t="str">
        <f>CHOOSE(MOD(SalesData[[#This Row],[Row ID]]-1,8)+1,"Aarav Sharma","Ananya Singh","Rohan Verma","Priya Gupta","Arjun Mehta","Neha Kapoor","Rahul Joshi","Sneha Patel")</f>
        <v>Sneha Patel</v>
      </c>
      <c r="W18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85" s="8">
        <f>IFERROR(VALUE(SUBSTITUTE(SUBSTITUTE(SalesData[[#This Row],[Profit]],"$",""),",",""))/VALUE(SUBSTITUTE(SUBSTITUTE(SalesData[[#This Row],[Sales]],"$",""),",","")),0)</f>
        <v>-7.904392493972115E-2</v>
      </c>
      <c r="Y185" s="6">
        <f>IFERROR(VALUE(SUBSTITUTE(SUBSTITUTE(SalesData[[#This Row],[Sales]],"$",""),",",""))/SalesData[[#This Row],[Quantity]],0)</f>
        <v>38.155999999999999</v>
      </c>
      <c r="Z185">
        <f>YEAR(SalesData[[#This Row],[Order Date]])</f>
        <v>2022</v>
      </c>
      <c r="AA185" t="str">
        <f>TEXT(SalesData[[#This Row],[Order Date]],"mmm")</f>
        <v>Dec</v>
      </c>
      <c r="AB18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86" spans="1:28">
      <c r="A186">
        <v>384</v>
      </c>
      <c r="B186" t="s">
        <v>1236</v>
      </c>
      <c r="C186" s="1">
        <v>44917</v>
      </c>
      <c r="D186" s="1">
        <v>44923</v>
      </c>
      <c r="E186" t="s">
        <v>36</v>
      </c>
      <c r="F186" t="s">
        <v>1237</v>
      </c>
      <c r="G186" t="s">
        <v>909</v>
      </c>
      <c r="H186" t="s">
        <v>39</v>
      </c>
      <c r="I186" t="s">
        <v>26</v>
      </c>
      <c r="J186" t="s">
        <v>81</v>
      </c>
      <c r="K186" t="s">
        <v>81</v>
      </c>
      <c r="L186">
        <v>69557</v>
      </c>
      <c r="M186" t="s">
        <v>62</v>
      </c>
      <c r="N186" t="s">
        <v>1238</v>
      </c>
      <c r="O186" t="s">
        <v>30</v>
      </c>
      <c r="P186" t="s">
        <v>222</v>
      </c>
      <c r="Q186" t="s">
        <v>818</v>
      </c>
      <c r="R186" t="s">
        <v>1239</v>
      </c>
      <c r="S186">
        <v>2</v>
      </c>
      <c r="T186" s="2">
        <v>0</v>
      </c>
      <c r="U186" t="s">
        <v>1240</v>
      </c>
      <c r="V186" t="str">
        <f>CHOOSE(MOD(SalesData[[#This Row],[Row ID]]-1,8)+1,"Aarav Sharma","Ananya Singh","Rohan Verma","Priya Gupta","Arjun Mehta","Neha Kapoor","Rahul Joshi","Sneha Patel")</f>
        <v>Sneha Patel</v>
      </c>
      <c r="W18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86" s="8">
        <f>IFERROR(VALUE(SUBSTITUTE(SUBSTITUTE(SalesData[[#This Row],[Profit]],"$",""),",",""))/VALUE(SUBSTITUTE(SUBSTITUTE(SalesData[[#This Row],[Sales]],"$",""),",","")),0)</f>
        <v>0.12751626482969766</v>
      </c>
      <c r="Y186" s="6">
        <f>IFERROR(VALUE(SUBSTITUTE(SUBSTITUTE(SalesData[[#This Row],[Sales]],"$",""),",",""))/SalesData[[#This Row],[Quantity]],0)</f>
        <v>65.325000000000003</v>
      </c>
      <c r="Z186">
        <f>YEAR(SalesData[[#This Row],[Order Date]])</f>
        <v>2022</v>
      </c>
      <c r="AA186" t="str">
        <f>TEXT(SalesData[[#This Row],[Order Date]],"mmm")</f>
        <v>Dec</v>
      </c>
      <c r="AB18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87" spans="1:28">
      <c r="A187">
        <v>595</v>
      </c>
      <c r="B187" t="s">
        <v>1241</v>
      </c>
      <c r="C187" s="1">
        <v>44921</v>
      </c>
      <c r="D187" s="1">
        <v>44923</v>
      </c>
      <c r="E187" t="s">
        <v>49</v>
      </c>
      <c r="F187" t="s">
        <v>1242</v>
      </c>
      <c r="G187" t="s">
        <v>451</v>
      </c>
      <c r="H187" t="s">
        <v>39</v>
      </c>
      <c r="I187" t="s">
        <v>26</v>
      </c>
      <c r="J187" t="s">
        <v>52</v>
      </c>
      <c r="K187" t="s">
        <v>52</v>
      </c>
      <c r="L187">
        <v>24404</v>
      </c>
      <c r="M187" t="s">
        <v>41</v>
      </c>
      <c r="N187" t="s">
        <v>1243</v>
      </c>
      <c r="O187" t="s">
        <v>64</v>
      </c>
      <c r="P187" t="s">
        <v>405</v>
      </c>
      <c r="Q187" t="s">
        <v>1142</v>
      </c>
      <c r="R187" t="s">
        <v>1244</v>
      </c>
      <c r="S187">
        <v>3</v>
      </c>
      <c r="T187" s="2">
        <v>0.15</v>
      </c>
      <c r="U187" t="s">
        <v>1245</v>
      </c>
      <c r="V187" t="str">
        <f>CHOOSE(MOD(SalesData[[#This Row],[Row ID]]-1,8)+1,"Aarav Sharma","Ananya Singh","Rohan Verma","Priya Gupta","Arjun Mehta","Neha Kapoor","Rahul Joshi","Sneha Patel")</f>
        <v>Rohan Verma</v>
      </c>
      <c r="W18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87" s="8">
        <f>IFERROR(VALUE(SUBSTITUTE(SUBSTITUTE(SalesData[[#This Row],[Profit]],"$",""),",",""))/VALUE(SUBSTITUTE(SUBSTITUTE(SalesData[[#This Row],[Sales]],"$",""),",","")),0)</f>
        <v>0.1383048734023761</v>
      </c>
      <c r="Y187" s="6">
        <f>IFERROR(VALUE(SUBSTITUTE(SUBSTITUTE(SalesData[[#This Row],[Sales]],"$",""),",",""))/SalesData[[#This Row],[Quantity]],0)</f>
        <v>96.236666666666665</v>
      </c>
      <c r="Z187">
        <f>YEAR(SalesData[[#This Row],[Order Date]])</f>
        <v>2022</v>
      </c>
      <c r="AA187" t="str">
        <f>TEXT(SalesData[[#This Row],[Order Date]],"mmm")</f>
        <v>Dec</v>
      </c>
      <c r="AB18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88" spans="1:28">
      <c r="A188">
        <v>178</v>
      </c>
      <c r="B188" t="s">
        <v>1246</v>
      </c>
      <c r="C188" s="1">
        <v>44922</v>
      </c>
      <c r="D188" s="1">
        <v>44925</v>
      </c>
      <c r="E188" t="s">
        <v>36</v>
      </c>
      <c r="F188" t="s">
        <v>1247</v>
      </c>
      <c r="G188" t="s">
        <v>939</v>
      </c>
      <c r="H188" t="s">
        <v>39</v>
      </c>
      <c r="I188" t="s">
        <v>26</v>
      </c>
      <c r="J188" t="s">
        <v>363</v>
      </c>
      <c r="K188" t="s">
        <v>363</v>
      </c>
      <c r="L188">
        <v>41433</v>
      </c>
      <c r="M188" t="s">
        <v>62</v>
      </c>
      <c r="N188" t="s">
        <v>1248</v>
      </c>
      <c r="O188" t="s">
        <v>43</v>
      </c>
      <c r="P188" t="s">
        <v>189</v>
      </c>
      <c r="Q188" t="s">
        <v>1249</v>
      </c>
      <c r="R188" t="s">
        <v>1250</v>
      </c>
      <c r="S188">
        <v>6</v>
      </c>
      <c r="T188" s="2">
        <v>0</v>
      </c>
      <c r="U188" t="s">
        <v>496</v>
      </c>
      <c r="V188" t="str">
        <f>CHOOSE(MOD(SalesData[[#This Row],[Row ID]]-1,8)+1,"Aarav Sharma","Ananya Singh","Rohan Verma","Priya Gupta","Arjun Mehta","Neha Kapoor","Rahul Joshi","Sneha Patel")</f>
        <v>Ananya Singh</v>
      </c>
      <c r="W18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88" s="8">
        <f>IFERROR(VALUE(SUBSTITUTE(SUBSTITUTE(SalesData[[#This Row],[Profit]],"$",""),",",""))/VALUE(SUBSTITUTE(SUBSTITUTE(SalesData[[#This Row],[Sales]],"$",""),",","")),0)</f>
        <v>0.27286169244767966</v>
      </c>
      <c r="Y188" s="6">
        <f>IFERROR(VALUE(SUBSTITUTE(SUBSTITUTE(SalesData[[#This Row],[Sales]],"$",""),",",""))/SalesData[[#This Row],[Quantity]],0)</f>
        <v>14.653333333333334</v>
      </c>
      <c r="Z188">
        <f>YEAR(SalesData[[#This Row],[Order Date]])</f>
        <v>2022</v>
      </c>
      <c r="AA188" t="str">
        <f>TEXT(SalesData[[#This Row],[Order Date]],"mmm")</f>
        <v>Dec</v>
      </c>
      <c r="AB18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89" spans="1:28">
      <c r="A189">
        <v>147</v>
      </c>
      <c r="B189" t="s">
        <v>1251</v>
      </c>
      <c r="C189" s="1">
        <v>44923</v>
      </c>
      <c r="D189" s="1">
        <v>44929</v>
      </c>
      <c r="E189" t="s">
        <v>49</v>
      </c>
      <c r="F189" t="s">
        <v>1252</v>
      </c>
      <c r="G189" t="s">
        <v>1253</v>
      </c>
      <c r="H189" t="s">
        <v>25</v>
      </c>
      <c r="I189" t="s">
        <v>26</v>
      </c>
      <c r="J189" t="s">
        <v>150</v>
      </c>
      <c r="K189" t="s">
        <v>150</v>
      </c>
      <c r="L189">
        <v>41337</v>
      </c>
      <c r="M189" t="s">
        <v>73</v>
      </c>
      <c r="N189" t="s">
        <v>1254</v>
      </c>
      <c r="O189" t="s">
        <v>43</v>
      </c>
      <c r="P189" t="s">
        <v>166</v>
      </c>
      <c r="Q189" t="s">
        <v>839</v>
      </c>
      <c r="R189" t="s">
        <v>1255</v>
      </c>
      <c r="S189">
        <v>1</v>
      </c>
      <c r="T189" s="2">
        <v>0.15</v>
      </c>
      <c r="U189" t="s">
        <v>1256</v>
      </c>
      <c r="V189" t="str">
        <f>CHOOSE(MOD(SalesData[[#This Row],[Row ID]]-1,8)+1,"Aarav Sharma","Ananya Singh","Rohan Verma","Priya Gupta","Arjun Mehta","Neha Kapoor","Rahul Joshi","Sneha Patel")</f>
        <v>Rohan Verma</v>
      </c>
      <c r="W18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89" s="8">
        <f>IFERROR(VALUE(SUBSTITUTE(SUBSTITUTE(SalesData[[#This Row],[Profit]],"$",""),",",""))/VALUE(SUBSTITUTE(SUBSTITUTE(SalesData[[#This Row],[Sales]],"$",""),",","")),0)</f>
        <v>0.11851713162329153</v>
      </c>
      <c r="Y189" s="6">
        <f>IFERROR(VALUE(SUBSTITUTE(SUBSTITUTE(SalesData[[#This Row],[Sales]],"$",""),",",""))/SalesData[[#This Row],[Quantity]],0)</f>
        <v>53.41</v>
      </c>
      <c r="Z189">
        <f>YEAR(SalesData[[#This Row],[Order Date]])</f>
        <v>2022</v>
      </c>
      <c r="AA189" t="str">
        <f>TEXT(SalesData[[#This Row],[Order Date]],"mmm")</f>
        <v>Dec</v>
      </c>
      <c r="AB18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90" spans="1:28">
      <c r="A190">
        <v>209</v>
      </c>
      <c r="B190" t="s">
        <v>1257</v>
      </c>
      <c r="C190" s="1">
        <v>44924</v>
      </c>
      <c r="D190" s="1">
        <v>44927</v>
      </c>
      <c r="E190" t="s">
        <v>49</v>
      </c>
      <c r="F190" t="s">
        <v>1258</v>
      </c>
      <c r="G190" t="s">
        <v>1259</v>
      </c>
      <c r="H190" t="s">
        <v>39</v>
      </c>
      <c r="I190" t="s">
        <v>26</v>
      </c>
      <c r="J190" t="s">
        <v>245</v>
      </c>
      <c r="K190" t="s">
        <v>245</v>
      </c>
      <c r="L190">
        <v>81088</v>
      </c>
      <c r="M190" t="s">
        <v>41</v>
      </c>
      <c r="N190" t="s">
        <v>776</v>
      </c>
      <c r="O190" t="s">
        <v>64</v>
      </c>
      <c r="P190" t="s">
        <v>65</v>
      </c>
      <c r="Q190" t="s">
        <v>1260</v>
      </c>
      <c r="R190" t="s">
        <v>1261</v>
      </c>
      <c r="S190">
        <v>2</v>
      </c>
      <c r="T190" s="2">
        <v>0.1</v>
      </c>
      <c r="U190" t="s">
        <v>1262</v>
      </c>
      <c r="V190" t="str">
        <f>CHOOSE(MOD(SalesData[[#This Row],[Row ID]]-1,8)+1,"Aarav Sharma","Ananya Singh","Rohan Verma","Priya Gupta","Arjun Mehta","Neha Kapoor","Rahul Joshi","Sneha Patel")</f>
        <v>Aarav Sharma</v>
      </c>
      <c r="W19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190" s="8">
        <f>IFERROR(VALUE(SUBSTITUTE(SUBSTITUTE(SalesData[[#This Row],[Profit]],"$",""),",",""))/VALUE(SUBSTITUTE(SUBSTITUTE(SalesData[[#This Row],[Sales]],"$",""),",","")),0)</f>
        <v>0.28066446228940323</v>
      </c>
      <c r="Y190" s="6">
        <f>IFERROR(VALUE(SUBSTITUTE(SUBSTITUTE(SalesData[[#This Row],[Sales]],"$",""),",",""))/SalesData[[#This Row],[Quantity]],0)</f>
        <v>63.51</v>
      </c>
      <c r="Z190">
        <f>YEAR(SalesData[[#This Row],[Order Date]])</f>
        <v>2022</v>
      </c>
      <c r="AA190" t="str">
        <f>TEXT(SalesData[[#This Row],[Order Date]],"mmm")</f>
        <v>Dec</v>
      </c>
      <c r="AB19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91" spans="1:28">
      <c r="A191">
        <v>475</v>
      </c>
      <c r="B191" t="s">
        <v>1263</v>
      </c>
      <c r="C191" s="1">
        <v>44925</v>
      </c>
      <c r="D191" s="1">
        <v>44927</v>
      </c>
      <c r="E191" t="s">
        <v>36</v>
      </c>
      <c r="F191" t="s">
        <v>1264</v>
      </c>
      <c r="G191" t="s">
        <v>1265</v>
      </c>
      <c r="H191" t="s">
        <v>25</v>
      </c>
      <c r="I191" t="s">
        <v>26</v>
      </c>
      <c r="J191" t="s">
        <v>641</v>
      </c>
      <c r="K191" t="s">
        <v>641</v>
      </c>
      <c r="L191">
        <v>45057</v>
      </c>
      <c r="M191" t="s">
        <v>62</v>
      </c>
      <c r="N191" t="s">
        <v>1266</v>
      </c>
      <c r="O191" t="s">
        <v>43</v>
      </c>
      <c r="P191" t="s">
        <v>214</v>
      </c>
      <c r="Q191" t="s">
        <v>1267</v>
      </c>
      <c r="R191" t="s">
        <v>1268</v>
      </c>
      <c r="S191">
        <v>6</v>
      </c>
      <c r="T191" s="2">
        <v>0.05</v>
      </c>
      <c r="U191" t="s">
        <v>1269</v>
      </c>
      <c r="V191" t="str">
        <f>CHOOSE(MOD(SalesData[[#This Row],[Row ID]]-1,8)+1,"Aarav Sharma","Ananya Singh","Rohan Verma","Priya Gupta","Arjun Mehta","Neha Kapoor","Rahul Joshi","Sneha Patel")</f>
        <v>Rohan Verma</v>
      </c>
      <c r="W19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91" s="8">
        <f>IFERROR(VALUE(SUBSTITUTE(SUBSTITUTE(SalesData[[#This Row],[Profit]],"$",""),",",""))/VALUE(SUBSTITUTE(SUBSTITUTE(SalesData[[#This Row],[Sales]],"$",""),",","")),0)</f>
        <v>0.14730852601156069</v>
      </c>
      <c r="Y191" s="6">
        <f>IFERROR(VALUE(SUBSTITUTE(SUBSTITUTE(SalesData[[#This Row],[Sales]],"$",""),",",""))/SalesData[[#This Row],[Quantity]],0)</f>
        <v>18.453333333333333</v>
      </c>
      <c r="Z191">
        <f>YEAR(SalesData[[#This Row],[Order Date]])</f>
        <v>2022</v>
      </c>
      <c r="AA191" t="str">
        <f>TEXT(SalesData[[#This Row],[Order Date]],"mmm")</f>
        <v>Dec</v>
      </c>
      <c r="AB19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92" spans="1:28">
      <c r="A192">
        <v>332</v>
      </c>
      <c r="B192" t="s">
        <v>1270</v>
      </c>
      <c r="C192" s="1">
        <v>44927</v>
      </c>
      <c r="D192" s="1">
        <v>44930</v>
      </c>
      <c r="E192" t="s">
        <v>36</v>
      </c>
      <c r="F192" t="s">
        <v>1271</v>
      </c>
      <c r="G192" t="s">
        <v>458</v>
      </c>
      <c r="H192" t="s">
        <v>39</v>
      </c>
      <c r="I192" t="s">
        <v>26</v>
      </c>
      <c r="J192" t="s">
        <v>641</v>
      </c>
      <c r="K192" t="s">
        <v>641</v>
      </c>
      <c r="L192">
        <v>98559</v>
      </c>
      <c r="M192" t="s">
        <v>62</v>
      </c>
      <c r="N192" t="s">
        <v>788</v>
      </c>
      <c r="O192" t="s">
        <v>43</v>
      </c>
      <c r="P192" t="s">
        <v>83</v>
      </c>
      <c r="Q192" t="s">
        <v>487</v>
      </c>
      <c r="R192" t="s">
        <v>1272</v>
      </c>
      <c r="S192">
        <v>1</v>
      </c>
      <c r="T192" s="2">
        <v>0.05</v>
      </c>
      <c r="U192" t="s">
        <v>1273</v>
      </c>
      <c r="V192" t="str">
        <f>CHOOSE(MOD(SalesData[[#This Row],[Row ID]]-1,8)+1,"Aarav Sharma","Ananya Singh","Rohan Verma","Priya Gupta","Arjun Mehta","Neha Kapoor","Rahul Joshi","Sneha Patel")</f>
        <v>Priya Gupta</v>
      </c>
      <c r="W19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92" s="8">
        <f>IFERROR(VALUE(SUBSTITUTE(SUBSTITUTE(SalesData[[#This Row],[Profit]],"$",""),",",""))/VALUE(SUBSTITUTE(SUBSTITUTE(SalesData[[#This Row],[Sales]],"$",""),",","")),0)</f>
        <v>0.2116190476190476</v>
      </c>
      <c r="Y192" s="6">
        <f>IFERROR(VALUE(SUBSTITUTE(SUBSTITUTE(SalesData[[#This Row],[Sales]],"$",""),",",""))/SalesData[[#This Row],[Quantity]],0)</f>
        <v>52.5</v>
      </c>
      <c r="Z192">
        <f>YEAR(SalesData[[#This Row],[Order Date]])</f>
        <v>2023</v>
      </c>
      <c r="AA192" t="str">
        <f>TEXT(SalesData[[#This Row],[Order Date]],"mmm")</f>
        <v>Jan</v>
      </c>
      <c r="AB19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93" spans="1:28">
      <c r="A193">
        <v>507</v>
      </c>
      <c r="B193" t="s">
        <v>1274</v>
      </c>
      <c r="C193" s="1">
        <v>44929</v>
      </c>
      <c r="D193" s="1">
        <v>44932</v>
      </c>
      <c r="E193" t="s">
        <v>36</v>
      </c>
      <c r="F193" t="s">
        <v>1275</v>
      </c>
      <c r="G193" t="s">
        <v>1276</v>
      </c>
      <c r="H193" t="s">
        <v>25</v>
      </c>
      <c r="I193" t="s">
        <v>26</v>
      </c>
      <c r="J193" t="s">
        <v>438</v>
      </c>
      <c r="K193" t="s">
        <v>438</v>
      </c>
      <c r="L193">
        <v>47743</v>
      </c>
      <c r="M193" t="s">
        <v>28</v>
      </c>
      <c r="N193" t="s">
        <v>1277</v>
      </c>
      <c r="O193" t="s">
        <v>43</v>
      </c>
      <c r="P193" t="s">
        <v>189</v>
      </c>
      <c r="Q193" t="s">
        <v>520</v>
      </c>
      <c r="R193" t="s">
        <v>1278</v>
      </c>
      <c r="S193">
        <v>3</v>
      </c>
      <c r="T193" s="2">
        <v>0.05</v>
      </c>
      <c r="U193" t="s">
        <v>1279</v>
      </c>
      <c r="V193" t="str">
        <f>CHOOSE(MOD(SalesData[[#This Row],[Row ID]]-1,8)+1,"Aarav Sharma","Ananya Singh","Rohan Verma","Priya Gupta","Arjun Mehta","Neha Kapoor","Rahul Joshi","Sneha Patel")</f>
        <v>Rohan Verma</v>
      </c>
      <c r="W19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93" s="8">
        <f>IFERROR(VALUE(SUBSTITUTE(SUBSTITUTE(SalesData[[#This Row],[Profit]],"$",""),",",""))/VALUE(SUBSTITUTE(SUBSTITUTE(SalesData[[#This Row],[Sales]],"$",""),",","")),0)</f>
        <v>0.20218614370679955</v>
      </c>
      <c r="Y193" s="6">
        <f>IFERROR(VALUE(SUBSTITUTE(SUBSTITUTE(SalesData[[#This Row],[Sales]],"$",""),",",""))/SalesData[[#This Row],[Quantity]],0)</f>
        <v>103.68333333333334</v>
      </c>
      <c r="Z193">
        <f>YEAR(SalesData[[#This Row],[Order Date]])</f>
        <v>2023</v>
      </c>
      <c r="AA193" t="str">
        <f>TEXT(SalesData[[#This Row],[Order Date]],"mmm")</f>
        <v>Jan</v>
      </c>
      <c r="AB19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194" spans="1:28">
      <c r="A194">
        <v>572</v>
      </c>
      <c r="B194" t="s">
        <v>1280</v>
      </c>
      <c r="C194" s="1">
        <v>44932</v>
      </c>
      <c r="D194" s="1">
        <v>44935</v>
      </c>
      <c r="E194" t="s">
        <v>382</v>
      </c>
      <c r="F194" t="s">
        <v>1281</v>
      </c>
      <c r="G194" t="s">
        <v>1282</v>
      </c>
      <c r="H194" t="s">
        <v>39</v>
      </c>
      <c r="I194" t="s">
        <v>26</v>
      </c>
      <c r="J194" t="s">
        <v>81</v>
      </c>
      <c r="K194" t="s">
        <v>81</v>
      </c>
      <c r="L194">
        <v>95818</v>
      </c>
      <c r="M194" t="s">
        <v>62</v>
      </c>
      <c r="N194" t="s">
        <v>1283</v>
      </c>
      <c r="O194" t="s">
        <v>43</v>
      </c>
      <c r="P194" t="s">
        <v>83</v>
      </c>
      <c r="Q194" t="s">
        <v>1284</v>
      </c>
      <c r="R194" t="s">
        <v>1285</v>
      </c>
      <c r="S194">
        <v>6</v>
      </c>
      <c r="T194" s="2">
        <v>0.3</v>
      </c>
      <c r="U194" t="s">
        <v>1286</v>
      </c>
      <c r="V194" t="str">
        <f>CHOOSE(MOD(SalesData[[#This Row],[Row ID]]-1,8)+1,"Aarav Sharma","Ananya Singh","Rohan Verma","Priya Gupta","Arjun Mehta","Neha Kapoor","Rahul Joshi","Sneha Patel")</f>
        <v>Priya Gupta</v>
      </c>
      <c r="W19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94" s="8">
        <f>IFERROR(VALUE(SUBSTITUTE(SUBSTITUTE(SalesData[[#This Row],[Profit]],"$",""),",",""))/VALUE(SUBSTITUTE(SUBSTITUTE(SalesData[[#This Row],[Sales]],"$",""),",","")),0)</f>
        <v>7.7175697865353041E-2</v>
      </c>
      <c r="Y194" s="6">
        <f>IFERROR(VALUE(SUBSTITUTE(SUBSTITUTE(SalesData[[#This Row],[Sales]],"$",""),",",""))/SalesData[[#This Row],[Quantity]],0)</f>
        <v>13.195</v>
      </c>
      <c r="Z194">
        <f>YEAR(SalesData[[#This Row],[Order Date]])</f>
        <v>2023</v>
      </c>
      <c r="AA194" t="str">
        <f>TEXT(SalesData[[#This Row],[Order Date]],"mmm")</f>
        <v>Jan</v>
      </c>
      <c r="AB19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95" spans="1:28">
      <c r="A195">
        <v>194</v>
      </c>
      <c r="B195" t="s">
        <v>1287</v>
      </c>
      <c r="C195" s="1">
        <v>44936</v>
      </c>
      <c r="D195" s="1">
        <v>44939</v>
      </c>
      <c r="E195" t="s">
        <v>49</v>
      </c>
      <c r="F195" t="s">
        <v>1288</v>
      </c>
      <c r="G195" t="s">
        <v>794</v>
      </c>
      <c r="H195" t="s">
        <v>25</v>
      </c>
      <c r="I195" t="s">
        <v>26</v>
      </c>
      <c r="J195" t="s">
        <v>27</v>
      </c>
      <c r="K195" t="s">
        <v>27</v>
      </c>
      <c r="L195">
        <v>29552</v>
      </c>
      <c r="M195" t="s">
        <v>28</v>
      </c>
      <c r="N195" t="s">
        <v>1289</v>
      </c>
      <c r="O195" t="s">
        <v>64</v>
      </c>
      <c r="P195" t="s">
        <v>405</v>
      </c>
      <c r="Q195" t="s">
        <v>1290</v>
      </c>
      <c r="R195" t="s">
        <v>1291</v>
      </c>
      <c r="S195">
        <v>4</v>
      </c>
      <c r="T195" s="2">
        <v>0.1</v>
      </c>
      <c r="U195" t="s">
        <v>1292</v>
      </c>
      <c r="V195" t="str">
        <f>CHOOSE(MOD(SalesData[[#This Row],[Row ID]]-1,8)+1,"Aarav Sharma","Ananya Singh","Rohan Verma","Priya Gupta","Arjun Mehta","Neha Kapoor","Rahul Joshi","Sneha Patel")</f>
        <v>Ananya Singh</v>
      </c>
      <c r="W19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95" s="8">
        <f>IFERROR(VALUE(SUBSTITUTE(SUBSTITUTE(SalesData[[#This Row],[Profit]],"$",""),",",""))/VALUE(SUBSTITUTE(SUBSTITUTE(SalesData[[#This Row],[Sales]],"$",""),",","")),0)</f>
        <v>0.14368603058927285</v>
      </c>
      <c r="Y195" s="6">
        <f>IFERROR(VALUE(SUBSTITUTE(SUBSTITUTE(SalesData[[#This Row],[Sales]],"$",""),",",""))/SalesData[[#This Row],[Quantity]],0)</f>
        <v>107.7175</v>
      </c>
      <c r="Z195">
        <f>YEAR(SalesData[[#This Row],[Order Date]])</f>
        <v>2023</v>
      </c>
      <c r="AA195" t="str">
        <f>TEXT(SalesData[[#This Row],[Order Date]],"mmm")</f>
        <v>Jan</v>
      </c>
      <c r="AB19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96" spans="1:28">
      <c r="A196">
        <v>295</v>
      </c>
      <c r="B196" t="s">
        <v>1293</v>
      </c>
      <c r="C196" s="1">
        <v>44937</v>
      </c>
      <c r="D196" s="1">
        <v>44940</v>
      </c>
      <c r="E196" t="s">
        <v>36</v>
      </c>
      <c r="F196" t="s">
        <v>1294</v>
      </c>
      <c r="G196" t="s">
        <v>1282</v>
      </c>
      <c r="H196" t="s">
        <v>25</v>
      </c>
      <c r="I196" t="s">
        <v>26</v>
      </c>
      <c r="J196" t="s">
        <v>301</v>
      </c>
      <c r="K196" t="s">
        <v>301</v>
      </c>
      <c r="L196">
        <v>10798</v>
      </c>
      <c r="M196" t="s">
        <v>73</v>
      </c>
      <c r="N196" t="s">
        <v>1295</v>
      </c>
      <c r="O196" t="s">
        <v>30</v>
      </c>
      <c r="P196" t="s">
        <v>120</v>
      </c>
      <c r="Q196" t="s">
        <v>420</v>
      </c>
      <c r="R196" t="s">
        <v>1296</v>
      </c>
      <c r="S196">
        <v>3</v>
      </c>
      <c r="T196" s="2">
        <v>0.4</v>
      </c>
      <c r="U196" t="s">
        <v>1297</v>
      </c>
      <c r="V196" t="str">
        <f>CHOOSE(MOD(SalesData[[#This Row],[Row ID]]-1,8)+1,"Aarav Sharma","Ananya Singh","Rohan Verma","Priya Gupta","Arjun Mehta","Neha Kapoor","Rahul Joshi","Sneha Patel")</f>
        <v>Rahul Joshi</v>
      </c>
      <c r="W19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96" s="8">
        <f>IFERROR(VALUE(SUBSTITUTE(SUBSTITUTE(SalesData[[#This Row],[Profit]],"$",""),",",""))/VALUE(SUBSTITUTE(SUBSTITUTE(SalesData[[#This Row],[Sales]],"$",""),",","")),0)</f>
        <v>-0.10656394727467046</v>
      </c>
      <c r="Y196" s="6">
        <f>IFERROR(VALUE(SUBSTITUTE(SUBSTITUTE(SalesData[[#This Row],[Sales]],"$",""),",",""))/SalesData[[#This Row],[Quantity]],0)</f>
        <v>74.853333333333339</v>
      </c>
      <c r="Z196">
        <f>YEAR(SalesData[[#This Row],[Order Date]])</f>
        <v>2023</v>
      </c>
      <c r="AA196" t="str">
        <f>TEXT(SalesData[[#This Row],[Order Date]],"mmm")</f>
        <v>Jan</v>
      </c>
      <c r="AB19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97" spans="1:28">
      <c r="A197">
        <v>452</v>
      </c>
      <c r="B197" t="s">
        <v>1298</v>
      </c>
      <c r="C197" s="1">
        <v>44937</v>
      </c>
      <c r="D197" s="1">
        <v>44940</v>
      </c>
      <c r="E197" t="s">
        <v>36</v>
      </c>
      <c r="F197" t="s">
        <v>1103</v>
      </c>
      <c r="G197" t="s">
        <v>71</v>
      </c>
      <c r="H197" t="s">
        <v>25</v>
      </c>
      <c r="I197" t="s">
        <v>26</v>
      </c>
      <c r="J197" t="s">
        <v>260</v>
      </c>
      <c r="K197" t="s">
        <v>260</v>
      </c>
      <c r="L197">
        <v>17219</v>
      </c>
      <c r="M197" t="s">
        <v>41</v>
      </c>
      <c r="N197" t="s">
        <v>1299</v>
      </c>
      <c r="O197" t="s">
        <v>64</v>
      </c>
      <c r="P197" t="s">
        <v>405</v>
      </c>
      <c r="Q197" t="s">
        <v>1300</v>
      </c>
      <c r="R197" t="s">
        <v>1301</v>
      </c>
      <c r="S197">
        <v>1</v>
      </c>
      <c r="T197" s="2">
        <v>0.4</v>
      </c>
      <c r="U197" t="s">
        <v>1302</v>
      </c>
      <c r="V197" t="str">
        <f>CHOOSE(MOD(SalesData[[#This Row],[Row ID]]-1,8)+1,"Aarav Sharma","Ananya Singh","Rohan Verma","Priya Gupta","Arjun Mehta","Neha Kapoor","Rahul Joshi","Sneha Patel")</f>
        <v>Priya Gupta</v>
      </c>
      <c r="W19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197" s="8">
        <f>IFERROR(VALUE(SUBSTITUTE(SUBSTITUTE(SalesData[[#This Row],[Profit]],"$",""),",",""))/VALUE(SUBSTITUTE(SUBSTITUTE(SalesData[[#This Row],[Sales]],"$",""),",","")),0)</f>
        <v>-9.4442736619189133E-3</v>
      </c>
      <c r="Y197" s="6">
        <f>IFERROR(VALUE(SUBSTITUTE(SUBSTITUTE(SalesData[[#This Row],[Sales]],"$",""),",",""))/SalesData[[#This Row],[Quantity]],0)</f>
        <v>585.54</v>
      </c>
      <c r="Z197">
        <f>YEAR(SalesData[[#This Row],[Order Date]])</f>
        <v>2023</v>
      </c>
      <c r="AA197" t="str">
        <f>TEXT(SalesData[[#This Row],[Order Date]],"mmm")</f>
        <v>Jan</v>
      </c>
      <c r="AB19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198" spans="1:28">
      <c r="A198">
        <v>327</v>
      </c>
      <c r="B198" t="s">
        <v>1303</v>
      </c>
      <c r="C198" s="1">
        <v>44939</v>
      </c>
      <c r="D198" s="1">
        <v>44940</v>
      </c>
      <c r="E198" t="s">
        <v>49</v>
      </c>
      <c r="F198" t="s">
        <v>1304</v>
      </c>
      <c r="G198" t="s">
        <v>203</v>
      </c>
      <c r="H198" t="s">
        <v>25</v>
      </c>
      <c r="I198" t="s">
        <v>26</v>
      </c>
      <c r="J198" t="s">
        <v>237</v>
      </c>
      <c r="K198" t="s">
        <v>237</v>
      </c>
      <c r="L198">
        <v>10755</v>
      </c>
      <c r="M198" t="s">
        <v>41</v>
      </c>
      <c r="N198" t="s">
        <v>1305</v>
      </c>
      <c r="O198" t="s">
        <v>64</v>
      </c>
      <c r="P198" t="s">
        <v>105</v>
      </c>
      <c r="Q198" t="s">
        <v>1306</v>
      </c>
      <c r="R198" t="s">
        <v>1307</v>
      </c>
      <c r="S198">
        <v>5</v>
      </c>
      <c r="T198" s="2">
        <v>0.1</v>
      </c>
      <c r="U198" t="s">
        <v>1308</v>
      </c>
      <c r="V198" t="str">
        <f>CHOOSE(MOD(SalesData[[#This Row],[Row ID]]-1,8)+1,"Aarav Sharma","Ananya Singh","Rohan Verma","Priya Gupta","Arjun Mehta","Neha Kapoor","Rahul Joshi","Sneha Patel")</f>
        <v>Rahul Joshi</v>
      </c>
      <c r="W19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198" s="8">
        <f>IFERROR(VALUE(SUBSTITUTE(SUBSTITUTE(SalesData[[#This Row],[Profit]],"$",""),",",""))/VALUE(SUBSTITUTE(SUBSTITUTE(SalesData[[#This Row],[Sales]],"$",""),",","")),0)</f>
        <v>0.11119075351670997</v>
      </c>
      <c r="Y198" s="6">
        <f>IFERROR(VALUE(SUBSTITUTE(SUBSTITUTE(SalesData[[#This Row],[Sales]],"$",""),",",""))/SalesData[[#This Row],[Quantity]],0)</f>
        <v>22.321999999999999</v>
      </c>
      <c r="Z198">
        <f>YEAR(SalesData[[#This Row],[Order Date]])</f>
        <v>2023</v>
      </c>
      <c r="AA198" t="str">
        <f>TEXT(SalesData[[#This Row],[Order Date]],"mmm")</f>
        <v>Jan</v>
      </c>
      <c r="AB19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199" spans="1:28">
      <c r="A199">
        <v>402</v>
      </c>
      <c r="B199" t="s">
        <v>1309</v>
      </c>
      <c r="C199" s="1">
        <v>44940</v>
      </c>
      <c r="D199" s="1">
        <v>44943</v>
      </c>
      <c r="E199" t="s">
        <v>36</v>
      </c>
      <c r="F199" t="s">
        <v>1310</v>
      </c>
      <c r="G199" t="s">
        <v>308</v>
      </c>
      <c r="H199" t="s">
        <v>25</v>
      </c>
      <c r="I199" t="s">
        <v>26</v>
      </c>
      <c r="J199" t="s">
        <v>641</v>
      </c>
      <c r="K199" t="s">
        <v>641</v>
      </c>
      <c r="L199">
        <v>64712</v>
      </c>
      <c r="M199" t="s">
        <v>62</v>
      </c>
      <c r="N199" t="s">
        <v>1283</v>
      </c>
      <c r="O199" t="s">
        <v>64</v>
      </c>
      <c r="P199" t="s">
        <v>105</v>
      </c>
      <c r="Q199" t="s">
        <v>954</v>
      </c>
      <c r="R199" t="s">
        <v>1311</v>
      </c>
      <c r="S199">
        <v>5</v>
      </c>
      <c r="T199" s="2">
        <v>0</v>
      </c>
      <c r="U199" t="s">
        <v>1312</v>
      </c>
      <c r="V199" t="str">
        <f>CHOOSE(MOD(SalesData[[#This Row],[Row ID]]-1,8)+1,"Aarav Sharma","Ananya Singh","Rohan Verma","Priya Gupta","Arjun Mehta","Neha Kapoor","Rahul Joshi","Sneha Patel")</f>
        <v>Ananya Singh</v>
      </c>
      <c r="W19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199" s="8">
        <f>IFERROR(VALUE(SUBSTITUTE(SUBSTITUTE(SalesData[[#This Row],[Profit]],"$",""),",",""))/VALUE(SUBSTITUTE(SUBSTITUTE(SalesData[[#This Row],[Sales]],"$",""),",","")),0)</f>
        <v>0.29181917573798544</v>
      </c>
      <c r="Y199" s="6">
        <f>IFERROR(VALUE(SUBSTITUTE(SUBSTITUTE(SalesData[[#This Row],[Sales]],"$",""),",",""))/SalesData[[#This Row],[Quantity]],0)</f>
        <v>84.147999999999996</v>
      </c>
      <c r="Z199">
        <f>YEAR(SalesData[[#This Row],[Order Date]])</f>
        <v>2023</v>
      </c>
      <c r="AA199" t="str">
        <f>TEXT(SalesData[[#This Row],[Order Date]],"mmm")</f>
        <v>Jan</v>
      </c>
      <c r="AB19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00" spans="1:28">
      <c r="A200">
        <v>548</v>
      </c>
      <c r="B200" t="s">
        <v>1313</v>
      </c>
      <c r="C200" s="1">
        <v>44942</v>
      </c>
      <c r="D200" s="1">
        <v>44948</v>
      </c>
      <c r="E200" t="s">
        <v>36</v>
      </c>
      <c r="F200" t="s">
        <v>1314</v>
      </c>
      <c r="G200" t="s">
        <v>172</v>
      </c>
      <c r="H200" t="s">
        <v>60</v>
      </c>
      <c r="I200" t="s">
        <v>26</v>
      </c>
      <c r="J200" t="s">
        <v>363</v>
      </c>
      <c r="K200" t="s">
        <v>363</v>
      </c>
      <c r="L200">
        <v>56104</v>
      </c>
      <c r="M200" t="s">
        <v>62</v>
      </c>
      <c r="N200" t="s">
        <v>701</v>
      </c>
      <c r="O200" t="s">
        <v>30</v>
      </c>
      <c r="P200" t="s">
        <v>222</v>
      </c>
      <c r="Q200" t="s">
        <v>1315</v>
      </c>
      <c r="R200" t="s">
        <v>1316</v>
      </c>
      <c r="S200">
        <v>1</v>
      </c>
      <c r="T200" s="2">
        <v>0.15</v>
      </c>
      <c r="U200" t="s">
        <v>1317</v>
      </c>
      <c r="V200" t="str">
        <f>CHOOSE(MOD(SalesData[[#This Row],[Row ID]]-1,8)+1,"Aarav Sharma","Ananya Singh","Rohan Verma","Priya Gupta","Arjun Mehta","Neha Kapoor","Rahul Joshi","Sneha Patel")</f>
        <v>Priya Gupta</v>
      </c>
      <c r="W20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00" s="8">
        <f>IFERROR(VALUE(SUBSTITUTE(SUBSTITUTE(SalesData[[#This Row],[Profit]],"$",""),",",""))/VALUE(SUBSTITUTE(SUBSTITUTE(SalesData[[#This Row],[Sales]],"$",""),",","")),0)</f>
        <v>7.6410319713615601E-2</v>
      </c>
      <c r="Y200" s="6">
        <f>IFERROR(VALUE(SUBSTITUTE(SUBSTITUTE(SalesData[[#This Row],[Sales]],"$",""),",",""))/SalesData[[#This Row],[Quantity]],0)</f>
        <v>81.010000000000005</v>
      </c>
      <c r="Z200">
        <f>YEAR(SalesData[[#This Row],[Order Date]])</f>
        <v>2023</v>
      </c>
      <c r="AA200" t="str">
        <f>TEXT(SalesData[[#This Row],[Order Date]],"mmm")</f>
        <v>Jan</v>
      </c>
      <c r="AB20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01" spans="1:28">
      <c r="A201">
        <v>250</v>
      </c>
      <c r="B201" t="s">
        <v>1318</v>
      </c>
      <c r="C201" s="1">
        <v>44942</v>
      </c>
      <c r="D201" s="1">
        <v>44945</v>
      </c>
      <c r="E201" t="s">
        <v>36</v>
      </c>
      <c r="F201" t="s">
        <v>1319</v>
      </c>
      <c r="G201" t="s">
        <v>844</v>
      </c>
      <c r="H201" t="s">
        <v>25</v>
      </c>
      <c r="I201" t="s">
        <v>26</v>
      </c>
      <c r="J201" t="s">
        <v>245</v>
      </c>
      <c r="K201" t="s">
        <v>245</v>
      </c>
      <c r="L201">
        <v>72653</v>
      </c>
      <c r="M201" t="s">
        <v>41</v>
      </c>
      <c r="N201" t="s">
        <v>1320</v>
      </c>
      <c r="O201" t="s">
        <v>64</v>
      </c>
      <c r="P201" t="s">
        <v>405</v>
      </c>
      <c r="Q201" t="s">
        <v>1321</v>
      </c>
      <c r="R201" t="s">
        <v>1322</v>
      </c>
      <c r="S201">
        <v>5</v>
      </c>
      <c r="T201" s="2">
        <v>0</v>
      </c>
      <c r="U201" t="s">
        <v>1323</v>
      </c>
      <c r="V201" t="str">
        <f>CHOOSE(MOD(SalesData[[#This Row],[Row ID]]-1,8)+1,"Aarav Sharma","Ananya Singh","Rohan Verma","Priya Gupta","Arjun Mehta","Neha Kapoor","Rahul Joshi","Sneha Patel")</f>
        <v>Ananya Singh</v>
      </c>
      <c r="W20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01" s="8">
        <f>IFERROR(VALUE(SUBSTITUTE(SUBSTITUTE(SalesData[[#This Row],[Profit]],"$",""),",",""))/VALUE(SUBSTITUTE(SUBSTITUTE(SalesData[[#This Row],[Sales]],"$",""),",","")),0)</f>
        <v>0.20087684336389</v>
      </c>
      <c r="Y201" s="6">
        <f>IFERROR(VALUE(SUBSTITUTE(SUBSTITUTE(SalesData[[#This Row],[Sales]],"$",""),",",""))/SalesData[[#This Row],[Quantity]],0)</f>
        <v>5.0179999999999998</v>
      </c>
      <c r="Z201">
        <f>YEAR(SalesData[[#This Row],[Order Date]])</f>
        <v>2023</v>
      </c>
      <c r="AA201" t="str">
        <f>TEXT(SalesData[[#This Row],[Order Date]],"mmm")</f>
        <v>Jan</v>
      </c>
      <c r="AB20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02" spans="1:28">
      <c r="A202">
        <v>536</v>
      </c>
      <c r="B202" t="s">
        <v>1324</v>
      </c>
      <c r="C202" s="1">
        <v>44943</v>
      </c>
      <c r="D202" s="1">
        <v>44946</v>
      </c>
      <c r="E202" t="s">
        <v>49</v>
      </c>
      <c r="F202" t="s">
        <v>1325</v>
      </c>
      <c r="G202" t="s">
        <v>1076</v>
      </c>
      <c r="H202" t="s">
        <v>25</v>
      </c>
      <c r="I202" t="s">
        <v>26</v>
      </c>
      <c r="J202" t="s">
        <v>301</v>
      </c>
      <c r="K202" t="s">
        <v>301</v>
      </c>
      <c r="L202">
        <v>61369</v>
      </c>
      <c r="M202" t="s">
        <v>73</v>
      </c>
      <c r="N202" t="s">
        <v>1326</v>
      </c>
      <c r="O202" t="s">
        <v>43</v>
      </c>
      <c r="P202" t="s">
        <v>189</v>
      </c>
      <c r="Q202" t="s">
        <v>1327</v>
      </c>
      <c r="R202" t="s">
        <v>1328</v>
      </c>
      <c r="S202">
        <v>6</v>
      </c>
      <c r="T202" s="2">
        <v>0.2</v>
      </c>
      <c r="U202" t="s">
        <v>1329</v>
      </c>
      <c r="V202" t="str">
        <f>CHOOSE(MOD(SalesData[[#This Row],[Row ID]]-1,8)+1,"Aarav Sharma","Ananya Singh","Rohan Verma","Priya Gupta","Arjun Mehta","Neha Kapoor","Rahul Joshi","Sneha Patel")</f>
        <v>Sneha Patel</v>
      </c>
      <c r="W20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02" s="8">
        <f>IFERROR(VALUE(SUBSTITUTE(SUBSTITUTE(SalesData[[#This Row],[Profit]],"$",""),",",""))/VALUE(SUBSTITUTE(SUBSTITUTE(SalesData[[#This Row],[Sales]],"$",""),",","")),0)</f>
        <v>0.10085558724397201</v>
      </c>
      <c r="Y202" s="6">
        <f>IFERROR(VALUE(SUBSTITUTE(SUBSTITUTE(SalesData[[#This Row],[Sales]],"$",""),",",""))/SalesData[[#This Row],[Quantity]],0)</f>
        <v>19.285</v>
      </c>
      <c r="Z202">
        <f>YEAR(SalesData[[#This Row],[Order Date]])</f>
        <v>2023</v>
      </c>
      <c r="AA202" t="str">
        <f>TEXT(SalesData[[#This Row],[Order Date]],"mmm")</f>
        <v>Jan</v>
      </c>
      <c r="AB20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03" spans="1:28">
      <c r="A203">
        <v>148</v>
      </c>
      <c r="B203" t="s">
        <v>1330</v>
      </c>
      <c r="C203" s="1">
        <v>44943</v>
      </c>
      <c r="D203" s="1">
        <v>44945</v>
      </c>
      <c r="E203" t="s">
        <v>36</v>
      </c>
      <c r="F203" t="s">
        <v>1331</v>
      </c>
      <c r="G203" t="s">
        <v>775</v>
      </c>
      <c r="H203" t="s">
        <v>39</v>
      </c>
      <c r="I203" t="s">
        <v>26</v>
      </c>
      <c r="J203" t="s">
        <v>96</v>
      </c>
      <c r="K203" t="s">
        <v>96</v>
      </c>
      <c r="L203">
        <v>69518</v>
      </c>
      <c r="M203" t="s">
        <v>28</v>
      </c>
      <c r="N203" t="s">
        <v>1332</v>
      </c>
      <c r="O203" t="s">
        <v>30</v>
      </c>
      <c r="P203" t="s">
        <v>31</v>
      </c>
      <c r="Q203" t="s">
        <v>582</v>
      </c>
      <c r="R203" t="s">
        <v>1333</v>
      </c>
      <c r="S203">
        <v>1</v>
      </c>
      <c r="T203" s="2">
        <v>0</v>
      </c>
      <c r="U203" t="s">
        <v>1334</v>
      </c>
      <c r="V203" t="str">
        <f>CHOOSE(MOD(SalesData[[#This Row],[Row ID]]-1,8)+1,"Aarav Sharma","Ananya Singh","Rohan Verma","Priya Gupta","Arjun Mehta","Neha Kapoor","Rahul Joshi","Sneha Patel")</f>
        <v>Priya Gupta</v>
      </c>
      <c r="W20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03" s="8">
        <f>IFERROR(VALUE(SUBSTITUTE(SUBSTITUTE(SalesData[[#This Row],[Profit]],"$",""),",",""))/VALUE(SUBSTITUTE(SUBSTITUTE(SalesData[[#This Row],[Sales]],"$",""),",","")),0)</f>
        <v>0.14181503461918893</v>
      </c>
      <c r="Y203" s="6">
        <f>IFERROR(VALUE(SUBSTITUTE(SUBSTITUTE(SalesData[[#This Row],[Sales]],"$",""),",",""))/SalesData[[#This Row],[Quantity]],0)</f>
        <v>80.88</v>
      </c>
      <c r="Z203">
        <f>YEAR(SalesData[[#This Row],[Order Date]])</f>
        <v>2023</v>
      </c>
      <c r="AA203" t="str">
        <f>TEXT(SalesData[[#This Row],[Order Date]],"mmm")</f>
        <v>Jan</v>
      </c>
      <c r="AB20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04" spans="1:28">
      <c r="A204">
        <v>444</v>
      </c>
      <c r="B204" t="s">
        <v>1335</v>
      </c>
      <c r="C204" s="1">
        <v>44943</v>
      </c>
      <c r="D204" s="1">
        <v>44949</v>
      </c>
      <c r="E204" t="s">
        <v>36</v>
      </c>
      <c r="F204" t="s">
        <v>1336</v>
      </c>
      <c r="G204" t="s">
        <v>134</v>
      </c>
      <c r="H204" t="s">
        <v>25</v>
      </c>
      <c r="I204" t="s">
        <v>26</v>
      </c>
      <c r="J204" t="s">
        <v>245</v>
      </c>
      <c r="K204" t="s">
        <v>245</v>
      </c>
      <c r="L204">
        <v>21294</v>
      </c>
      <c r="M204" t="s">
        <v>41</v>
      </c>
      <c r="N204" t="s">
        <v>1337</v>
      </c>
      <c r="O204" t="s">
        <v>64</v>
      </c>
      <c r="P204" t="s">
        <v>105</v>
      </c>
      <c r="Q204" t="s">
        <v>702</v>
      </c>
      <c r="R204" t="s">
        <v>1338</v>
      </c>
      <c r="S204">
        <v>4</v>
      </c>
      <c r="T204" s="2">
        <v>0.1</v>
      </c>
      <c r="U204" t="s">
        <v>1339</v>
      </c>
      <c r="V204" t="str">
        <f>CHOOSE(MOD(SalesData[[#This Row],[Row ID]]-1,8)+1,"Aarav Sharma","Ananya Singh","Rohan Verma","Priya Gupta","Arjun Mehta","Neha Kapoor","Rahul Joshi","Sneha Patel")</f>
        <v>Priya Gupta</v>
      </c>
      <c r="W20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04" s="8">
        <f>IFERROR(VALUE(SUBSTITUTE(SUBSTITUTE(SalesData[[#This Row],[Profit]],"$",""),",",""))/VALUE(SUBSTITUTE(SUBSTITUTE(SalesData[[#This Row],[Sales]],"$",""),",","")),0)</f>
        <v>0.27593582887700535</v>
      </c>
      <c r="Y204" s="6">
        <f>IFERROR(VALUE(SUBSTITUTE(SUBSTITUTE(SalesData[[#This Row],[Sales]],"$",""),",",""))/SalesData[[#This Row],[Quantity]],0)</f>
        <v>60.774999999999999</v>
      </c>
      <c r="Z204">
        <f>YEAR(SalesData[[#This Row],[Order Date]])</f>
        <v>2023</v>
      </c>
      <c r="AA204" t="str">
        <f>TEXT(SalesData[[#This Row],[Order Date]],"mmm")</f>
        <v>Jan</v>
      </c>
      <c r="AB20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05" spans="1:28">
      <c r="A205">
        <v>188</v>
      </c>
      <c r="B205" t="s">
        <v>1340</v>
      </c>
      <c r="C205" s="1">
        <v>44945</v>
      </c>
      <c r="D205" s="1">
        <v>44946</v>
      </c>
      <c r="E205" t="s">
        <v>49</v>
      </c>
      <c r="F205" t="s">
        <v>1341</v>
      </c>
      <c r="G205" t="s">
        <v>187</v>
      </c>
      <c r="H205" t="s">
        <v>25</v>
      </c>
      <c r="I205" t="s">
        <v>26</v>
      </c>
      <c r="J205" t="s">
        <v>52</v>
      </c>
      <c r="K205" t="s">
        <v>52</v>
      </c>
      <c r="L205">
        <v>96511</v>
      </c>
      <c r="M205" t="s">
        <v>41</v>
      </c>
      <c r="N205" t="s">
        <v>1342</v>
      </c>
      <c r="O205" t="s">
        <v>30</v>
      </c>
      <c r="P205" t="s">
        <v>120</v>
      </c>
      <c r="Q205" t="s">
        <v>357</v>
      </c>
      <c r="R205" t="s">
        <v>1343</v>
      </c>
      <c r="S205">
        <v>7</v>
      </c>
      <c r="T205" s="2">
        <v>0.2</v>
      </c>
      <c r="U205" t="s">
        <v>1344</v>
      </c>
      <c r="V205" t="str">
        <f>CHOOSE(MOD(SalesData[[#This Row],[Row ID]]-1,8)+1,"Aarav Sharma","Ananya Singh","Rohan Verma","Priya Gupta","Arjun Mehta","Neha Kapoor","Rahul Joshi","Sneha Patel")</f>
        <v>Priya Gupta</v>
      </c>
      <c r="W20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05" s="8">
        <f>IFERROR(VALUE(SUBSTITUTE(SUBSTITUTE(SalesData[[#This Row],[Profit]],"$",""),",",""))/VALUE(SUBSTITUTE(SUBSTITUTE(SalesData[[#This Row],[Sales]],"$",""),",","")),0)</f>
        <v>-4.3379467052261936E-2</v>
      </c>
      <c r="Y205" s="6">
        <f>IFERROR(VALUE(SUBSTITUTE(SUBSTITUTE(SalesData[[#This Row],[Sales]],"$",""),",",""))/SalesData[[#This Row],[Quantity]],0)</f>
        <v>13.831428571428571</v>
      </c>
      <c r="Z205">
        <f>YEAR(SalesData[[#This Row],[Order Date]])</f>
        <v>2023</v>
      </c>
      <c r="AA205" t="str">
        <f>TEXT(SalesData[[#This Row],[Order Date]],"mmm")</f>
        <v>Jan</v>
      </c>
      <c r="AB20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06" spans="1:28">
      <c r="A206">
        <v>389</v>
      </c>
      <c r="B206" t="s">
        <v>1345</v>
      </c>
      <c r="C206" s="1">
        <v>44948</v>
      </c>
      <c r="D206" s="1">
        <v>44952</v>
      </c>
      <c r="E206" t="s">
        <v>36</v>
      </c>
      <c r="F206" t="s">
        <v>1346</v>
      </c>
      <c r="G206" t="s">
        <v>126</v>
      </c>
      <c r="H206" t="s">
        <v>60</v>
      </c>
      <c r="I206" t="s">
        <v>26</v>
      </c>
      <c r="J206" t="s">
        <v>27</v>
      </c>
      <c r="K206" t="s">
        <v>27</v>
      </c>
      <c r="L206">
        <v>98534</v>
      </c>
      <c r="M206" t="s">
        <v>28</v>
      </c>
      <c r="N206" t="s">
        <v>1347</v>
      </c>
      <c r="O206" t="s">
        <v>43</v>
      </c>
      <c r="P206" t="s">
        <v>189</v>
      </c>
      <c r="Q206" t="s">
        <v>1348</v>
      </c>
      <c r="R206" t="s">
        <v>1349</v>
      </c>
      <c r="S206">
        <v>2</v>
      </c>
      <c r="T206" s="2">
        <v>0.1</v>
      </c>
      <c r="U206" t="s">
        <v>1350</v>
      </c>
      <c r="V206" t="str">
        <f>CHOOSE(MOD(SalesData[[#This Row],[Row ID]]-1,8)+1,"Aarav Sharma","Ananya Singh","Rohan Verma","Priya Gupta","Arjun Mehta","Neha Kapoor","Rahul Joshi","Sneha Patel")</f>
        <v>Arjun Mehta</v>
      </c>
      <c r="W20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06" s="8">
        <f>IFERROR(VALUE(SUBSTITUTE(SUBSTITUTE(SalesData[[#This Row],[Profit]],"$",""),",",""))/VALUE(SUBSTITUTE(SUBSTITUTE(SalesData[[#This Row],[Sales]],"$",""),",","")),0)</f>
        <v>0.13425196850393703</v>
      </c>
      <c r="Y206" s="6">
        <f>IFERROR(VALUE(SUBSTITUTE(SUBSTITUTE(SalesData[[#This Row],[Sales]],"$",""),",",""))/SalesData[[#This Row],[Quantity]],0)</f>
        <v>50.8</v>
      </c>
      <c r="Z206">
        <f>YEAR(SalesData[[#This Row],[Order Date]])</f>
        <v>2023</v>
      </c>
      <c r="AA206" t="str">
        <f>TEXT(SalesData[[#This Row],[Order Date]],"mmm")</f>
        <v>Jan</v>
      </c>
      <c r="AB20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07" spans="1:28">
      <c r="A207">
        <v>302</v>
      </c>
      <c r="B207" t="s">
        <v>1351</v>
      </c>
      <c r="C207" s="1">
        <v>44948</v>
      </c>
      <c r="D207" s="1">
        <v>44952</v>
      </c>
      <c r="E207" t="s">
        <v>49</v>
      </c>
      <c r="F207" t="s">
        <v>1352</v>
      </c>
      <c r="G207" t="s">
        <v>384</v>
      </c>
      <c r="H207" t="s">
        <v>60</v>
      </c>
      <c r="I207" t="s">
        <v>26</v>
      </c>
      <c r="J207" t="s">
        <v>301</v>
      </c>
      <c r="K207" t="s">
        <v>301</v>
      </c>
      <c r="L207">
        <v>44758</v>
      </c>
      <c r="M207" t="s">
        <v>73</v>
      </c>
      <c r="N207" t="s">
        <v>1353</v>
      </c>
      <c r="O207" t="s">
        <v>30</v>
      </c>
      <c r="P207" t="s">
        <v>120</v>
      </c>
      <c r="Q207" t="s">
        <v>1112</v>
      </c>
      <c r="R207" t="s">
        <v>1354</v>
      </c>
      <c r="S207">
        <v>4</v>
      </c>
      <c r="T207" s="2">
        <v>0.15</v>
      </c>
      <c r="U207" t="s">
        <v>1355</v>
      </c>
      <c r="V207" t="str">
        <f>CHOOSE(MOD(SalesData[[#This Row],[Row ID]]-1,8)+1,"Aarav Sharma","Ananya Singh","Rohan Verma","Priya Gupta","Arjun Mehta","Neha Kapoor","Rahul Joshi","Sneha Patel")</f>
        <v>Neha Kapoor</v>
      </c>
      <c r="W20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07" s="8">
        <f>IFERROR(VALUE(SUBSTITUTE(SUBSTITUTE(SalesData[[#This Row],[Profit]],"$",""),",",""))/VALUE(SUBSTITUTE(SUBSTITUTE(SalesData[[#This Row],[Sales]],"$",""),",","")),0)</f>
        <v>7.4270945089242174E-2</v>
      </c>
      <c r="Y207" s="6">
        <f>IFERROR(VALUE(SUBSTITUTE(SUBSTITUTE(SalesData[[#This Row],[Sales]],"$",""),",",""))/SalesData[[#This Row],[Quantity]],0)</f>
        <v>51.265000000000001</v>
      </c>
      <c r="Z207">
        <f>YEAR(SalesData[[#This Row],[Order Date]])</f>
        <v>2023</v>
      </c>
      <c r="AA207" t="str">
        <f>TEXT(SalesData[[#This Row],[Order Date]],"mmm")</f>
        <v>Jan</v>
      </c>
      <c r="AB20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08" spans="1:28">
      <c r="A208">
        <v>136</v>
      </c>
      <c r="B208" t="s">
        <v>1356</v>
      </c>
      <c r="C208" s="1">
        <v>44948</v>
      </c>
      <c r="D208" s="1">
        <v>44951</v>
      </c>
      <c r="E208" t="s">
        <v>49</v>
      </c>
      <c r="F208" t="s">
        <v>1357</v>
      </c>
      <c r="G208" t="s">
        <v>1358</v>
      </c>
      <c r="H208" t="s">
        <v>25</v>
      </c>
      <c r="I208" t="s">
        <v>26</v>
      </c>
      <c r="J208" t="s">
        <v>237</v>
      </c>
      <c r="K208" t="s">
        <v>237</v>
      </c>
      <c r="L208">
        <v>41852</v>
      </c>
      <c r="M208" t="s">
        <v>41</v>
      </c>
      <c r="N208" t="s">
        <v>1359</v>
      </c>
      <c r="O208" t="s">
        <v>30</v>
      </c>
      <c r="P208" t="s">
        <v>120</v>
      </c>
      <c r="Q208" t="s">
        <v>1099</v>
      </c>
      <c r="R208" t="s">
        <v>1360</v>
      </c>
      <c r="S208">
        <v>3</v>
      </c>
      <c r="T208" s="2">
        <v>0.1</v>
      </c>
      <c r="U208" t="s">
        <v>169</v>
      </c>
      <c r="V208" t="str">
        <f>CHOOSE(MOD(SalesData[[#This Row],[Row ID]]-1,8)+1,"Aarav Sharma","Ananya Singh","Rohan Verma","Priya Gupta","Arjun Mehta","Neha Kapoor","Rahul Joshi","Sneha Patel")</f>
        <v>Sneha Patel</v>
      </c>
      <c r="W20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08" s="8">
        <f>IFERROR(VALUE(SUBSTITUTE(SUBSTITUTE(SalesData[[#This Row],[Profit]],"$",""),",",""))/VALUE(SUBSTITUTE(SUBSTITUTE(SalesData[[#This Row],[Sales]],"$",""),",","")),0)</f>
        <v>3.1323108916038477E-2</v>
      </c>
      <c r="Y208" s="6">
        <f>IFERROR(VALUE(SUBSTITUTE(SUBSTITUTE(SalesData[[#This Row],[Sales]],"$",""),",",""))/SalesData[[#This Row],[Quantity]],0)</f>
        <v>102.58666666666666</v>
      </c>
      <c r="Z208">
        <f>YEAR(SalesData[[#This Row],[Order Date]])</f>
        <v>2023</v>
      </c>
      <c r="AA208" t="str">
        <f>TEXT(SalesData[[#This Row],[Order Date]],"mmm")</f>
        <v>Jan</v>
      </c>
      <c r="AB20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09" spans="1:28">
      <c r="A209">
        <v>218</v>
      </c>
      <c r="B209" t="s">
        <v>1361</v>
      </c>
      <c r="C209" s="1">
        <v>44949</v>
      </c>
      <c r="D209" s="1">
        <v>44952</v>
      </c>
      <c r="E209" t="s">
        <v>49</v>
      </c>
      <c r="F209" t="s">
        <v>1362</v>
      </c>
      <c r="G209" t="s">
        <v>816</v>
      </c>
      <c r="H209" t="s">
        <v>39</v>
      </c>
      <c r="I209" t="s">
        <v>26</v>
      </c>
      <c r="J209" t="s">
        <v>52</v>
      </c>
      <c r="K209" t="s">
        <v>52</v>
      </c>
      <c r="L209">
        <v>29259</v>
      </c>
      <c r="M209" t="s">
        <v>41</v>
      </c>
      <c r="N209" t="s">
        <v>1363</v>
      </c>
      <c r="O209" t="s">
        <v>30</v>
      </c>
      <c r="P209" t="s">
        <v>120</v>
      </c>
      <c r="Q209" t="s">
        <v>1364</v>
      </c>
      <c r="R209" t="s">
        <v>1365</v>
      </c>
      <c r="S209">
        <v>1</v>
      </c>
      <c r="T209" s="2">
        <v>0.15</v>
      </c>
      <c r="U209" t="s">
        <v>1366</v>
      </c>
      <c r="V209" t="str">
        <f>CHOOSE(MOD(SalesData[[#This Row],[Row ID]]-1,8)+1,"Aarav Sharma","Ananya Singh","Rohan Verma","Priya Gupta","Arjun Mehta","Neha Kapoor","Rahul Joshi","Sneha Patel")</f>
        <v>Ananya Singh</v>
      </c>
      <c r="W20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09" s="8">
        <f>IFERROR(VALUE(SUBSTITUTE(SUBSTITUTE(SalesData[[#This Row],[Profit]],"$",""),",",""))/VALUE(SUBSTITUTE(SUBSTITUTE(SalesData[[#This Row],[Sales]],"$",""),",","")),0)</f>
        <v>7.2232844699383902E-3</v>
      </c>
      <c r="Y209" s="6">
        <f>IFERROR(VALUE(SUBSTITUTE(SUBSTITUTE(SalesData[[#This Row],[Sales]],"$",""),",",""))/SalesData[[#This Row],[Quantity]],0)</f>
        <v>47.07</v>
      </c>
      <c r="Z209">
        <f>YEAR(SalesData[[#This Row],[Order Date]])</f>
        <v>2023</v>
      </c>
      <c r="AA209" t="str">
        <f>TEXT(SalesData[[#This Row],[Order Date]],"mmm")</f>
        <v>Jan</v>
      </c>
      <c r="AB20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10" spans="1:28">
      <c r="A210">
        <v>571</v>
      </c>
      <c r="B210" t="s">
        <v>1367</v>
      </c>
      <c r="C210" s="1">
        <v>44951</v>
      </c>
      <c r="D210" s="1">
        <v>44955</v>
      </c>
      <c r="E210" t="s">
        <v>36</v>
      </c>
      <c r="F210" t="s">
        <v>1368</v>
      </c>
      <c r="G210" t="s">
        <v>187</v>
      </c>
      <c r="H210" t="s">
        <v>25</v>
      </c>
      <c r="I210" t="s">
        <v>26</v>
      </c>
      <c r="J210" t="s">
        <v>40</v>
      </c>
      <c r="K210" t="s">
        <v>40</v>
      </c>
      <c r="L210">
        <v>28170</v>
      </c>
      <c r="M210" t="s">
        <v>41</v>
      </c>
      <c r="N210" t="s">
        <v>205</v>
      </c>
      <c r="O210" t="s">
        <v>43</v>
      </c>
      <c r="P210" t="s">
        <v>83</v>
      </c>
      <c r="Q210" t="s">
        <v>1369</v>
      </c>
      <c r="R210" t="s">
        <v>1370</v>
      </c>
      <c r="S210">
        <v>1</v>
      </c>
      <c r="T210" s="2">
        <v>0.15</v>
      </c>
      <c r="U210" t="s">
        <v>1371</v>
      </c>
      <c r="V210" t="str">
        <f>CHOOSE(MOD(SalesData[[#This Row],[Row ID]]-1,8)+1,"Aarav Sharma","Ananya Singh","Rohan Verma","Priya Gupta","Arjun Mehta","Neha Kapoor","Rahul Joshi","Sneha Patel")</f>
        <v>Rohan Verma</v>
      </c>
      <c r="W21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10" s="8">
        <f>IFERROR(VALUE(SUBSTITUTE(SUBSTITUTE(SalesData[[#This Row],[Profit]],"$",""),",",""))/VALUE(SUBSTITUTE(SUBSTITUTE(SalesData[[#This Row],[Sales]],"$",""),",","")),0)</f>
        <v>1.82179529645578E-3</v>
      </c>
      <c r="Y210" s="6">
        <f>IFERROR(VALUE(SUBSTITUTE(SUBSTITUTE(SalesData[[#This Row],[Sales]],"$",""),",",""))/SalesData[[#This Row],[Quantity]],0)</f>
        <v>60.38</v>
      </c>
      <c r="Z210">
        <f>YEAR(SalesData[[#This Row],[Order Date]])</f>
        <v>2023</v>
      </c>
      <c r="AA210" t="str">
        <f>TEXT(SalesData[[#This Row],[Order Date]],"mmm")</f>
        <v>Jan</v>
      </c>
      <c r="AB21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11" spans="1:28">
      <c r="A211">
        <v>547</v>
      </c>
      <c r="B211" t="s">
        <v>1372</v>
      </c>
      <c r="C211" s="1">
        <v>44952</v>
      </c>
      <c r="D211" s="1">
        <v>44953</v>
      </c>
      <c r="E211" t="s">
        <v>49</v>
      </c>
      <c r="F211" t="s">
        <v>1373</v>
      </c>
      <c r="G211" t="s">
        <v>38</v>
      </c>
      <c r="H211" t="s">
        <v>60</v>
      </c>
      <c r="I211" t="s">
        <v>26</v>
      </c>
      <c r="J211" t="s">
        <v>260</v>
      </c>
      <c r="K211" t="s">
        <v>260</v>
      </c>
      <c r="L211">
        <v>60345</v>
      </c>
      <c r="M211" t="s">
        <v>41</v>
      </c>
      <c r="N211" t="s">
        <v>1374</v>
      </c>
      <c r="O211" t="s">
        <v>43</v>
      </c>
      <c r="P211" t="s">
        <v>189</v>
      </c>
      <c r="Q211" t="s">
        <v>1375</v>
      </c>
      <c r="R211" t="s">
        <v>1376</v>
      </c>
      <c r="S211">
        <v>5</v>
      </c>
      <c r="T211" s="2">
        <v>0.4</v>
      </c>
      <c r="U211" t="s">
        <v>1377</v>
      </c>
      <c r="V211" t="str">
        <f>CHOOSE(MOD(SalesData[[#This Row],[Row ID]]-1,8)+1,"Aarav Sharma","Ananya Singh","Rohan Verma","Priya Gupta","Arjun Mehta","Neha Kapoor","Rahul Joshi","Sneha Patel")</f>
        <v>Rohan Verma</v>
      </c>
      <c r="W21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11" s="8">
        <f>IFERROR(VALUE(SUBSTITUTE(SUBSTITUTE(SalesData[[#This Row],[Profit]],"$",""),",",""))/VALUE(SUBSTITUTE(SUBSTITUTE(SalesData[[#This Row],[Sales]],"$",""),",","")),0)</f>
        <v>-8.6907974318414447E-2</v>
      </c>
      <c r="Y211" s="6">
        <f>IFERROR(VALUE(SUBSTITUTE(SUBSTITUTE(SalesData[[#This Row],[Sales]],"$",""),",",""))/SalesData[[#This Row],[Quantity]],0)</f>
        <v>21.494</v>
      </c>
      <c r="Z211">
        <f>YEAR(SalesData[[#This Row],[Order Date]])</f>
        <v>2023</v>
      </c>
      <c r="AA211" t="str">
        <f>TEXT(SalesData[[#This Row],[Order Date]],"mmm")</f>
        <v>Jan</v>
      </c>
      <c r="AB21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12" spans="1:28">
      <c r="A212">
        <v>356</v>
      </c>
      <c r="B212" t="s">
        <v>1378</v>
      </c>
      <c r="C212" s="1">
        <v>44957</v>
      </c>
      <c r="D212" s="1">
        <v>44959</v>
      </c>
      <c r="E212" t="s">
        <v>36</v>
      </c>
      <c r="F212" t="s">
        <v>1379</v>
      </c>
      <c r="G212" t="s">
        <v>95</v>
      </c>
      <c r="H212" t="s">
        <v>39</v>
      </c>
      <c r="I212" t="s">
        <v>26</v>
      </c>
      <c r="J212" t="s">
        <v>229</v>
      </c>
      <c r="K212" t="s">
        <v>229</v>
      </c>
      <c r="L212">
        <v>95781</v>
      </c>
      <c r="M212" t="s">
        <v>73</v>
      </c>
      <c r="N212" t="s">
        <v>1380</v>
      </c>
      <c r="O212" t="s">
        <v>43</v>
      </c>
      <c r="P212" t="s">
        <v>189</v>
      </c>
      <c r="Q212" t="s">
        <v>1381</v>
      </c>
      <c r="R212" t="s">
        <v>1382</v>
      </c>
      <c r="S212">
        <v>4</v>
      </c>
      <c r="T212" s="2">
        <v>0</v>
      </c>
      <c r="U212" t="s">
        <v>1383</v>
      </c>
      <c r="V212" t="str">
        <f>CHOOSE(MOD(SalesData[[#This Row],[Row ID]]-1,8)+1,"Aarav Sharma","Ananya Singh","Rohan Verma","Priya Gupta","Arjun Mehta","Neha Kapoor","Rahul Joshi","Sneha Patel")</f>
        <v>Priya Gupta</v>
      </c>
      <c r="W21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12" s="8">
        <f>IFERROR(VALUE(SUBSTITUTE(SUBSTITUTE(SalesData[[#This Row],[Profit]],"$",""),",",""))/VALUE(SUBSTITUTE(SUBSTITUTE(SalesData[[#This Row],[Sales]],"$",""),",","")),0)</f>
        <v>0.29152599594868328</v>
      </c>
      <c r="Y212" s="6">
        <f>IFERROR(VALUE(SUBSTITUTE(SUBSTITUTE(SalesData[[#This Row],[Sales]],"$",""),",",""))/SalesData[[#This Row],[Quantity]],0)</f>
        <v>14.81</v>
      </c>
      <c r="Z212">
        <f>YEAR(SalesData[[#This Row],[Order Date]])</f>
        <v>2023</v>
      </c>
      <c r="AA212" t="str">
        <f>TEXT(SalesData[[#This Row],[Order Date]],"mmm")</f>
        <v>Jan</v>
      </c>
      <c r="AB21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13" spans="1:28">
      <c r="A213">
        <v>27</v>
      </c>
      <c r="B213" t="s">
        <v>1384</v>
      </c>
      <c r="C213" s="1">
        <v>44957</v>
      </c>
      <c r="D213" s="1">
        <v>44963</v>
      </c>
      <c r="E213" t="s">
        <v>49</v>
      </c>
      <c r="F213" t="s">
        <v>1385</v>
      </c>
      <c r="G213" t="s">
        <v>322</v>
      </c>
      <c r="H213" t="s">
        <v>60</v>
      </c>
      <c r="I213" t="s">
        <v>26</v>
      </c>
      <c r="J213" t="s">
        <v>40</v>
      </c>
      <c r="K213" t="s">
        <v>40</v>
      </c>
      <c r="L213">
        <v>70566</v>
      </c>
      <c r="M213" t="s">
        <v>41</v>
      </c>
      <c r="N213" t="s">
        <v>1386</v>
      </c>
      <c r="O213" t="s">
        <v>30</v>
      </c>
      <c r="P213" t="s">
        <v>222</v>
      </c>
      <c r="Q213" t="s">
        <v>223</v>
      </c>
      <c r="R213" t="s">
        <v>1387</v>
      </c>
      <c r="S213">
        <v>7</v>
      </c>
      <c r="T213" s="2">
        <v>0</v>
      </c>
      <c r="U213" t="s">
        <v>1388</v>
      </c>
      <c r="V213" t="str">
        <f>CHOOSE(MOD(SalesData[[#This Row],[Row ID]]-1,8)+1,"Aarav Sharma","Ananya Singh","Rohan Verma","Priya Gupta","Arjun Mehta","Neha Kapoor","Rahul Joshi","Sneha Patel")</f>
        <v>Rohan Verma</v>
      </c>
      <c r="W21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13" s="8">
        <f>IFERROR(VALUE(SUBSTITUTE(SUBSTITUTE(SalesData[[#This Row],[Profit]],"$",""),",",""))/VALUE(SUBSTITUTE(SUBSTITUTE(SalesData[[#This Row],[Sales]],"$",""),",","")),0)</f>
        <v>0.15409247659933845</v>
      </c>
      <c r="Y213" s="6">
        <f>IFERROR(VALUE(SUBSTITUTE(SUBSTITUTE(SalesData[[#This Row],[Sales]],"$",""),",",""))/SalesData[[#This Row],[Quantity]],0)</f>
        <v>40.597142857142856</v>
      </c>
      <c r="Z213">
        <f>YEAR(SalesData[[#This Row],[Order Date]])</f>
        <v>2023</v>
      </c>
      <c r="AA213" t="str">
        <f>TEXT(SalesData[[#This Row],[Order Date]],"mmm")</f>
        <v>Jan</v>
      </c>
      <c r="AB21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14" spans="1:28">
      <c r="A214">
        <v>510</v>
      </c>
      <c r="B214" t="s">
        <v>1389</v>
      </c>
      <c r="C214" s="1">
        <v>44957</v>
      </c>
      <c r="D214" s="1">
        <v>44963</v>
      </c>
      <c r="E214" t="s">
        <v>49</v>
      </c>
      <c r="F214" t="s">
        <v>1390</v>
      </c>
      <c r="G214" t="s">
        <v>1076</v>
      </c>
      <c r="H214" t="s">
        <v>25</v>
      </c>
      <c r="I214" t="s">
        <v>26</v>
      </c>
      <c r="J214" t="s">
        <v>81</v>
      </c>
      <c r="K214" t="s">
        <v>81</v>
      </c>
      <c r="L214">
        <v>35595</v>
      </c>
      <c r="M214" t="s">
        <v>62</v>
      </c>
      <c r="N214" t="s">
        <v>1391</v>
      </c>
      <c r="O214" t="s">
        <v>30</v>
      </c>
      <c r="P214" t="s">
        <v>222</v>
      </c>
      <c r="Q214" t="s">
        <v>434</v>
      </c>
      <c r="R214" t="s">
        <v>1392</v>
      </c>
      <c r="S214">
        <v>6</v>
      </c>
      <c r="T214" s="2">
        <v>0.2</v>
      </c>
      <c r="U214" t="s">
        <v>1393</v>
      </c>
      <c r="V214" t="str">
        <f>CHOOSE(MOD(SalesData[[#This Row],[Row ID]]-1,8)+1,"Aarav Sharma","Ananya Singh","Rohan Verma","Priya Gupta","Arjun Mehta","Neha Kapoor","Rahul Joshi","Sneha Patel")</f>
        <v>Neha Kapoor</v>
      </c>
      <c r="W21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14" s="8">
        <f>IFERROR(VALUE(SUBSTITUTE(SUBSTITUTE(SalesData[[#This Row],[Profit]],"$",""),",",""))/VALUE(SUBSTITUTE(SUBSTITUTE(SalesData[[#This Row],[Sales]],"$",""),",","")),0)</f>
        <v>4.726758000101107E-2</v>
      </c>
      <c r="Y214" s="6">
        <f>IFERROR(VALUE(SUBSTITUTE(SUBSTITUTE(SalesData[[#This Row],[Sales]],"$",""),",",""))/SalesData[[#This Row],[Quantity]],0)</f>
        <v>32.968333333333334</v>
      </c>
      <c r="Z214">
        <f>YEAR(SalesData[[#This Row],[Order Date]])</f>
        <v>2023</v>
      </c>
      <c r="AA214" t="str">
        <f>TEXT(SalesData[[#This Row],[Order Date]],"mmm")</f>
        <v>Jan</v>
      </c>
      <c r="AB21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15" spans="1:28">
      <c r="A215">
        <v>368</v>
      </c>
      <c r="B215" t="s">
        <v>1394</v>
      </c>
      <c r="C215" s="1">
        <v>44958</v>
      </c>
      <c r="D215" s="1">
        <v>44964</v>
      </c>
      <c r="E215" t="s">
        <v>36</v>
      </c>
      <c r="F215" t="s">
        <v>1395</v>
      </c>
      <c r="G215" t="s">
        <v>876</v>
      </c>
      <c r="H215" t="s">
        <v>25</v>
      </c>
      <c r="I215" t="s">
        <v>26</v>
      </c>
      <c r="J215" t="s">
        <v>157</v>
      </c>
      <c r="K215" t="s">
        <v>157</v>
      </c>
      <c r="L215">
        <v>20737</v>
      </c>
      <c r="M215" t="s">
        <v>62</v>
      </c>
      <c r="N215" t="s">
        <v>1396</v>
      </c>
      <c r="O215" t="s">
        <v>64</v>
      </c>
      <c r="P215" t="s">
        <v>65</v>
      </c>
      <c r="Q215" t="s">
        <v>1397</v>
      </c>
      <c r="R215" t="s">
        <v>1398</v>
      </c>
      <c r="S215">
        <v>4</v>
      </c>
      <c r="T215" s="2">
        <v>0.1</v>
      </c>
      <c r="U215" t="s">
        <v>1399</v>
      </c>
      <c r="V215" t="str">
        <f>CHOOSE(MOD(SalesData[[#This Row],[Row ID]]-1,8)+1,"Aarav Sharma","Ananya Singh","Rohan Verma","Priya Gupta","Arjun Mehta","Neha Kapoor","Rahul Joshi","Sneha Patel")</f>
        <v>Sneha Patel</v>
      </c>
      <c r="W21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15" s="8">
        <f>IFERROR(VALUE(SUBSTITUTE(SUBSTITUTE(SalesData[[#This Row],[Profit]],"$",""),",",""))/VALUE(SUBSTITUTE(SUBSTITUTE(SalesData[[#This Row],[Sales]],"$",""),",","")),0)</f>
        <v>0.24108360943285906</v>
      </c>
      <c r="Y215" s="6">
        <f>IFERROR(VALUE(SUBSTITUTE(SUBSTITUTE(SalesData[[#This Row],[Sales]],"$",""),",",""))/SalesData[[#This Row],[Quantity]],0)</f>
        <v>102.62</v>
      </c>
      <c r="Z215">
        <f>YEAR(SalesData[[#This Row],[Order Date]])</f>
        <v>2023</v>
      </c>
      <c r="AA215" t="str">
        <f>TEXT(SalesData[[#This Row],[Order Date]],"mmm")</f>
        <v>Feb</v>
      </c>
      <c r="AB21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16" spans="1:28">
      <c r="A216">
        <v>585</v>
      </c>
      <c r="B216" t="s">
        <v>1400</v>
      </c>
      <c r="C216" s="1">
        <v>44962</v>
      </c>
      <c r="D216" s="1">
        <v>44966</v>
      </c>
      <c r="E216" t="s">
        <v>49</v>
      </c>
      <c r="F216" t="s">
        <v>1401</v>
      </c>
      <c r="G216" t="s">
        <v>425</v>
      </c>
      <c r="H216" t="s">
        <v>25</v>
      </c>
      <c r="I216" t="s">
        <v>26</v>
      </c>
      <c r="J216" t="s">
        <v>641</v>
      </c>
      <c r="K216" t="s">
        <v>641</v>
      </c>
      <c r="L216">
        <v>25290</v>
      </c>
      <c r="M216" t="s">
        <v>62</v>
      </c>
      <c r="N216" t="s">
        <v>1402</v>
      </c>
      <c r="O216" t="s">
        <v>30</v>
      </c>
      <c r="P216" t="s">
        <v>31</v>
      </c>
      <c r="Q216" t="s">
        <v>1403</v>
      </c>
      <c r="R216" t="s">
        <v>1404</v>
      </c>
      <c r="S216">
        <v>3</v>
      </c>
      <c r="T216" s="2">
        <v>0</v>
      </c>
      <c r="U216" t="s">
        <v>1405</v>
      </c>
      <c r="V216" t="str">
        <f>CHOOSE(MOD(SalesData[[#This Row],[Row ID]]-1,8)+1,"Aarav Sharma","Ananya Singh","Rohan Verma","Priya Gupta","Arjun Mehta","Neha Kapoor","Rahul Joshi","Sneha Patel")</f>
        <v>Aarav Sharma</v>
      </c>
      <c r="W21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16" s="8">
        <f>IFERROR(VALUE(SUBSTITUTE(SUBSTITUTE(SalesData[[#This Row],[Profit]],"$",""),",",""))/VALUE(SUBSTITUTE(SUBSTITUTE(SalesData[[#This Row],[Sales]],"$",""),",","")),0)</f>
        <v>0.22088578563783701</v>
      </c>
      <c r="Y216" s="6">
        <f>IFERROR(VALUE(SUBSTITUTE(SUBSTITUTE(SalesData[[#This Row],[Sales]],"$",""),",",""))/SalesData[[#This Row],[Quantity]],0)</f>
        <v>65.403333333333336</v>
      </c>
      <c r="Z216">
        <f>YEAR(SalesData[[#This Row],[Order Date]])</f>
        <v>2023</v>
      </c>
      <c r="AA216" t="str">
        <f>TEXT(SalesData[[#This Row],[Order Date]],"mmm")</f>
        <v>Feb</v>
      </c>
      <c r="AB21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17" spans="1:28">
      <c r="A217">
        <v>15</v>
      </c>
      <c r="B217" t="s">
        <v>1406</v>
      </c>
      <c r="C217" s="1">
        <v>44962</v>
      </c>
      <c r="D217" s="1">
        <v>44965</v>
      </c>
      <c r="E217" t="s">
        <v>36</v>
      </c>
      <c r="F217" t="s">
        <v>1407</v>
      </c>
      <c r="G217" t="s">
        <v>1265</v>
      </c>
      <c r="H217" t="s">
        <v>39</v>
      </c>
      <c r="I217" t="s">
        <v>26</v>
      </c>
      <c r="J217" t="s">
        <v>212</v>
      </c>
      <c r="K217" t="s">
        <v>212</v>
      </c>
      <c r="L217">
        <v>84543</v>
      </c>
      <c r="M217" t="s">
        <v>28</v>
      </c>
      <c r="N217" t="s">
        <v>1408</v>
      </c>
      <c r="O217" t="s">
        <v>30</v>
      </c>
      <c r="P217" t="s">
        <v>222</v>
      </c>
      <c r="Q217" t="s">
        <v>1409</v>
      </c>
      <c r="R217" t="s">
        <v>1410</v>
      </c>
      <c r="S217">
        <v>3</v>
      </c>
      <c r="T217" s="2">
        <v>0.15</v>
      </c>
      <c r="U217" t="s">
        <v>1411</v>
      </c>
      <c r="V217" t="str">
        <f>CHOOSE(MOD(SalesData[[#This Row],[Row ID]]-1,8)+1,"Aarav Sharma","Ananya Singh","Rohan Verma","Priya Gupta","Arjun Mehta","Neha Kapoor","Rahul Joshi","Sneha Patel")</f>
        <v>Rahul Joshi</v>
      </c>
      <c r="W21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17" s="8">
        <f>IFERROR(VALUE(SUBSTITUTE(SUBSTITUTE(SalesData[[#This Row],[Profit]],"$",""),",",""))/VALUE(SUBSTITUTE(SUBSTITUTE(SalesData[[#This Row],[Sales]],"$",""),",","")),0)</f>
        <v>0.10105526739402612</v>
      </c>
      <c r="Y217" s="6">
        <f>IFERROR(VALUE(SUBSTITUTE(SUBSTITUTE(SalesData[[#This Row],[Sales]],"$",""),",",""))/SalesData[[#This Row],[Quantity]],0)</f>
        <v>37.273333333333333</v>
      </c>
      <c r="Z217">
        <f>YEAR(SalesData[[#This Row],[Order Date]])</f>
        <v>2023</v>
      </c>
      <c r="AA217" t="str">
        <f>TEXT(SalesData[[#This Row],[Order Date]],"mmm")</f>
        <v>Feb</v>
      </c>
      <c r="AB21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18" spans="1:28">
      <c r="A218">
        <v>169</v>
      </c>
      <c r="B218" t="s">
        <v>1412</v>
      </c>
      <c r="C218" s="1">
        <v>44962</v>
      </c>
      <c r="D218" s="1">
        <v>44966</v>
      </c>
      <c r="E218" t="s">
        <v>49</v>
      </c>
      <c r="F218" t="s">
        <v>1413</v>
      </c>
      <c r="G218" t="s">
        <v>142</v>
      </c>
      <c r="H218" t="s">
        <v>39</v>
      </c>
      <c r="I218" t="s">
        <v>26</v>
      </c>
      <c r="J218" t="s">
        <v>81</v>
      </c>
      <c r="K218" t="s">
        <v>81</v>
      </c>
      <c r="L218">
        <v>64040</v>
      </c>
      <c r="M218" t="s">
        <v>62</v>
      </c>
      <c r="N218" t="s">
        <v>1414</v>
      </c>
      <c r="O218" t="s">
        <v>43</v>
      </c>
      <c r="P218" t="s">
        <v>83</v>
      </c>
      <c r="Q218" t="s">
        <v>1196</v>
      </c>
      <c r="R218" t="s">
        <v>1415</v>
      </c>
      <c r="S218">
        <v>5</v>
      </c>
      <c r="T218" s="2">
        <v>0.2</v>
      </c>
      <c r="U218" t="s">
        <v>1416</v>
      </c>
      <c r="V218" t="str">
        <f>CHOOSE(MOD(SalesData[[#This Row],[Row ID]]-1,8)+1,"Aarav Sharma","Ananya Singh","Rohan Verma","Priya Gupta","Arjun Mehta","Neha Kapoor","Rahul Joshi","Sneha Patel")</f>
        <v>Aarav Sharma</v>
      </c>
      <c r="W21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18" s="8">
        <f>IFERROR(VALUE(SUBSTITUTE(SUBSTITUTE(SalesData[[#This Row],[Profit]],"$",""),",",""))/VALUE(SUBSTITUTE(SUBSTITUTE(SalesData[[#This Row],[Sales]],"$",""),",","")),0)</f>
        <v>9.3615691177619753E-2</v>
      </c>
      <c r="Y218" s="6">
        <f>IFERROR(VALUE(SUBSTITUTE(SUBSTITUTE(SalesData[[#This Row],[Sales]],"$",""),",",""))/SalesData[[#This Row],[Quantity]],0)</f>
        <v>25.594000000000001</v>
      </c>
      <c r="Z218">
        <f>YEAR(SalesData[[#This Row],[Order Date]])</f>
        <v>2023</v>
      </c>
      <c r="AA218" t="str">
        <f>TEXT(SalesData[[#This Row],[Order Date]],"mmm")</f>
        <v>Feb</v>
      </c>
      <c r="AB21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19" spans="1:28">
      <c r="A219">
        <v>37</v>
      </c>
      <c r="B219" t="s">
        <v>1417</v>
      </c>
      <c r="C219" s="1">
        <v>44962</v>
      </c>
      <c r="D219" s="1">
        <v>44964</v>
      </c>
      <c r="E219" t="s">
        <v>49</v>
      </c>
      <c r="F219" t="s">
        <v>1418</v>
      </c>
      <c r="G219" t="s">
        <v>95</v>
      </c>
      <c r="H219" t="s">
        <v>39</v>
      </c>
      <c r="I219" t="s">
        <v>26</v>
      </c>
      <c r="J219" t="s">
        <v>260</v>
      </c>
      <c r="K219" t="s">
        <v>260</v>
      </c>
      <c r="L219">
        <v>63413</v>
      </c>
      <c r="M219" t="s">
        <v>41</v>
      </c>
      <c r="N219" t="s">
        <v>1419</v>
      </c>
      <c r="O219" t="s">
        <v>43</v>
      </c>
      <c r="P219" t="s">
        <v>44</v>
      </c>
      <c r="Q219" t="s">
        <v>1420</v>
      </c>
      <c r="R219" t="s">
        <v>1421</v>
      </c>
      <c r="S219">
        <v>4</v>
      </c>
      <c r="T219" s="2">
        <v>0.5</v>
      </c>
      <c r="U219" t="s">
        <v>1157</v>
      </c>
      <c r="V219" t="str">
        <f>CHOOSE(MOD(SalesData[[#This Row],[Row ID]]-1,8)+1,"Aarav Sharma","Ananya Singh","Rohan Verma","Priya Gupta","Arjun Mehta","Neha Kapoor","Rahul Joshi","Sneha Patel")</f>
        <v>Arjun Mehta</v>
      </c>
      <c r="W21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19" s="8">
        <f>IFERROR(VALUE(SUBSTITUTE(SUBSTITUTE(SalesData[[#This Row],[Profit]],"$",""),",",""))/VALUE(SUBSTITUTE(SUBSTITUTE(SalesData[[#This Row],[Sales]],"$",""),",","")),0)</f>
        <v>-9.7513187641296156E-2</v>
      </c>
      <c r="Y219" s="6">
        <f>IFERROR(VALUE(SUBSTITUTE(SUBSTITUTE(SalesData[[#This Row],[Sales]],"$",""),",",""))/SalesData[[#This Row],[Quantity]],0)</f>
        <v>16.587499999999999</v>
      </c>
      <c r="Z219">
        <f>YEAR(SalesData[[#This Row],[Order Date]])</f>
        <v>2023</v>
      </c>
      <c r="AA219" t="str">
        <f>TEXT(SalesData[[#This Row],[Order Date]],"mmm")</f>
        <v>Feb</v>
      </c>
      <c r="AB21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20" spans="1:28">
      <c r="A220">
        <v>415</v>
      </c>
      <c r="B220" t="s">
        <v>1422</v>
      </c>
      <c r="C220" s="1">
        <v>44963</v>
      </c>
      <c r="D220" s="1">
        <v>44967</v>
      </c>
      <c r="E220" t="s">
        <v>36</v>
      </c>
      <c r="F220" t="s">
        <v>1423</v>
      </c>
      <c r="G220" t="s">
        <v>594</v>
      </c>
      <c r="H220" t="s">
        <v>25</v>
      </c>
      <c r="I220" t="s">
        <v>26</v>
      </c>
      <c r="J220" t="s">
        <v>61</v>
      </c>
      <c r="K220" t="s">
        <v>61</v>
      </c>
      <c r="L220">
        <v>98478</v>
      </c>
      <c r="M220" t="s">
        <v>62</v>
      </c>
      <c r="N220" t="s">
        <v>1424</v>
      </c>
      <c r="O220" t="s">
        <v>64</v>
      </c>
      <c r="P220" t="s">
        <v>405</v>
      </c>
      <c r="Q220" t="s">
        <v>480</v>
      </c>
      <c r="R220" t="s">
        <v>1425</v>
      </c>
      <c r="S220">
        <v>2</v>
      </c>
      <c r="T220" s="2">
        <v>0.1</v>
      </c>
      <c r="U220" t="s">
        <v>1426</v>
      </c>
      <c r="V220" t="str">
        <f>CHOOSE(MOD(SalesData[[#This Row],[Row ID]]-1,8)+1,"Aarav Sharma","Ananya Singh","Rohan Verma","Priya Gupta","Arjun Mehta","Neha Kapoor","Rahul Joshi","Sneha Patel")</f>
        <v>Rahul Joshi</v>
      </c>
      <c r="W22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20" s="8">
        <f>IFERROR(VALUE(SUBSTITUTE(SUBSTITUTE(SalesData[[#This Row],[Profit]],"$",""),",",""))/VALUE(SUBSTITUTE(SUBSTITUTE(SalesData[[#This Row],[Sales]],"$",""),",","")),0)</f>
        <v>0.20830221558376896</v>
      </c>
      <c r="Y220" s="6">
        <f>IFERROR(VALUE(SUBSTITUTE(SUBSTITUTE(SalesData[[#This Row],[Sales]],"$",""),",",""))/SalesData[[#This Row],[Quantity]],0)</f>
        <v>80.34</v>
      </c>
      <c r="Z220">
        <f>YEAR(SalesData[[#This Row],[Order Date]])</f>
        <v>2023</v>
      </c>
      <c r="AA220" t="str">
        <f>TEXT(SalesData[[#This Row],[Order Date]],"mmm")</f>
        <v>Feb</v>
      </c>
      <c r="AB22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21" spans="1:28">
      <c r="A221">
        <v>340</v>
      </c>
      <c r="B221" t="s">
        <v>1427</v>
      </c>
      <c r="C221" s="1">
        <v>44964</v>
      </c>
      <c r="D221" s="1">
        <v>44967</v>
      </c>
      <c r="E221" t="s">
        <v>49</v>
      </c>
      <c r="F221" t="s">
        <v>1428</v>
      </c>
      <c r="G221" t="s">
        <v>1429</v>
      </c>
      <c r="H221" t="s">
        <v>25</v>
      </c>
      <c r="I221" t="s">
        <v>26</v>
      </c>
      <c r="J221" t="s">
        <v>363</v>
      </c>
      <c r="K221" t="s">
        <v>363</v>
      </c>
      <c r="L221">
        <v>29423</v>
      </c>
      <c r="M221" t="s">
        <v>62</v>
      </c>
      <c r="N221" t="s">
        <v>946</v>
      </c>
      <c r="O221" t="s">
        <v>30</v>
      </c>
      <c r="P221" t="s">
        <v>120</v>
      </c>
      <c r="Q221" t="s">
        <v>1430</v>
      </c>
      <c r="R221" t="s">
        <v>1431</v>
      </c>
      <c r="S221">
        <v>1</v>
      </c>
      <c r="T221" s="2">
        <v>0.05</v>
      </c>
      <c r="U221" t="s">
        <v>1432</v>
      </c>
      <c r="V221" t="str">
        <f>CHOOSE(MOD(SalesData[[#This Row],[Row ID]]-1,8)+1,"Aarav Sharma","Ananya Singh","Rohan Verma","Priya Gupta","Arjun Mehta","Neha Kapoor","Rahul Joshi","Sneha Patel")</f>
        <v>Priya Gupta</v>
      </c>
      <c r="W22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21" s="8">
        <f>IFERROR(VALUE(SUBSTITUTE(SUBSTITUTE(SalesData[[#This Row],[Profit]],"$",""),",",""))/VALUE(SUBSTITUTE(SUBSTITUTE(SalesData[[#This Row],[Sales]],"$",""),",","")),0)</f>
        <v>0.15820580474934037</v>
      </c>
      <c r="Y221" s="6">
        <f>IFERROR(VALUE(SUBSTITUTE(SUBSTITUTE(SalesData[[#This Row],[Sales]],"$",""),",",""))/SalesData[[#This Row],[Quantity]],0)</f>
        <v>284.25</v>
      </c>
      <c r="Z221">
        <f>YEAR(SalesData[[#This Row],[Order Date]])</f>
        <v>2023</v>
      </c>
      <c r="AA221" t="str">
        <f>TEXT(SalesData[[#This Row],[Order Date]],"mmm")</f>
        <v>Feb</v>
      </c>
      <c r="AB22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22" spans="1:28">
      <c r="A222">
        <v>35</v>
      </c>
      <c r="B222" t="s">
        <v>1433</v>
      </c>
      <c r="C222" s="1">
        <v>44966</v>
      </c>
      <c r="D222" s="1">
        <v>44967</v>
      </c>
      <c r="E222" t="s">
        <v>382</v>
      </c>
      <c r="F222" t="s">
        <v>1434</v>
      </c>
      <c r="G222" t="s">
        <v>1166</v>
      </c>
      <c r="H222" t="s">
        <v>60</v>
      </c>
      <c r="I222" t="s">
        <v>26</v>
      </c>
      <c r="J222" t="s">
        <v>363</v>
      </c>
      <c r="K222" t="s">
        <v>363</v>
      </c>
      <c r="L222">
        <v>44816</v>
      </c>
      <c r="M222" t="s">
        <v>62</v>
      </c>
      <c r="N222" t="s">
        <v>1435</v>
      </c>
      <c r="O222" t="s">
        <v>43</v>
      </c>
      <c r="P222" t="s">
        <v>44</v>
      </c>
      <c r="Q222" t="s">
        <v>1436</v>
      </c>
      <c r="R222" t="s">
        <v>1437</v>
      </c>
      <c r="S222">
        <v>5</v>
      </c>
      <c r="T222" s="2">
        <v>0.4</v>
      </c>
      <c r="U222" t="s">
        <v>1438</v>
      </c>
      <c r="V222" t="str">
        <f>CHOOSE(MOD(SalesData[[#This Row],[Row ID]]-1,8)+1,"Aarav Sharma","Ananya Singh","Rohan Verma","Priya Gupta","Arjun Mehta","Neha Kapoor","Rahul Joshi","Sneha Patel")</f>
        <v>Rohan Verma</v>
      </c>
      <c r="W22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22" s="8">
        <f>IFERROR(VALUE(SUBSTITUTE(SUBSTITUTE(SalesData[[#This Row],[Profit]],"$",""),",",""))/VALUE(SUBSTITUTE(SUBSTITUTE(SalesData[[#This Row],[Sales]],"$",""),",","")),0)</f>
        <v>-8.527022253620628E-2</v>
      </c>
      <c r="Y222" s="6">
        <f>IFERROR(VALUE(SUBSTITUTE(SUBSTITUTE(SalesData[[#This Row],[Sales]],"$",""),",",""))/SalesData[[#This Row],[Quantity]],0)</f>
        <v>28.310000000000002</v>
      </c>
      <c r="Z222">
        <f>YEAR(SalesData[[#This Row],[Order Date]])</f>
        <v>2023</v>
      </c>
      <c r="AA222" t="str">
        <f>TEXT(SalesData[[#This Row],[Order Date]],"mmm")</f>
        <v>Feb</v>
      </c>
      <c r="AB22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23" spans="1:28">
      <c r="A223">
        <v>594</v>
      </c>
      <c r="B223" t="s">
        <v>1439</v>
      </c>
      <c r="C223" s="1">
        <v>44966</v>
      </c>
      <c r="D223" s="1">
        <v>44968</v>
      </c>
      <c r="E223" t="s">
        <v>36</v>
      </c>
      <c r="F223" t="s">
        <v>1440</v>
      </c>
      <c r="G223" t="s">
        <v>713</v>
      </c>
      <c r="H223" t="s">
        <v>25</v>
      </c>
      <c r="I223" t="s">
        <v>26</v>
      </c>
      <c r="J223" t="s">
        <v>260</v>
      </c>
      <c r="K223" t="s">
        <v>260</v>
      </c>
      <c r="L223">
        <v>82793</v>
      </c>
      <c r="M223" t="s">
        <v>41</v>
      </c>
      <c r="N223" t="s">
        <v>1441</v>
      </c>
      <c r="O223" t="s">
        <v>43</v>
      </c>
      <c r="P223" t="s">
        <v>189</v>
      </c>
      <c r="Q223" t="s">
        <v>281</v>
      </c>
      <c r="R223" t="s">
        <v>1442</v>
      </c>
      <c r="S223">
        <v>4</v>
      </c>
      <c r="T223" s="2">
        <v>0.2</v>
      </c>
      <c r="U223" t="s">
        <v>1443</v>
      </c>
      <c r="V223" t="str">
        <f>CHOOSE(MOD(SalesData[[#This Row],[Row ID]]-1,8)+1,"Aarav Sharma","Ananya Singh","Rohan Verma","Priya Gupta","Arjun Mehta","Neha Kapoor","Rahul Joshi","Sneha Patel")</f>
        <v>Ananya Singh</v>
      </c>
      <c r="W22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23" s="8">
        <f>IFERROR(VALUE(SUBSTITUTE(SUBSTITUTE(SalesData[[#This Row],[Profit]],"$",""),",",""))/VALUE(SUBSTITUTE(SUBSTITUTE(SalesData[[#This Row],[Sales]],"$",""),",","")),0)</f>
        <v>4.1894736842105262E-2</v>
      </c>
      <c r="Y223" s="6">
        <f>IFERROR(VALUE(SUBSTITUTE(SUBSTITUTE(SalesData[[#This Row],[Sales]],"$",""),",",""))/SalesData[[#This Row],[Quantity]],0)</f>
        <v>11.875</v>
      </c>
      <c r="Z223">
        <f>YEAR(SalesData[[#This Row],[Order Date]])</f>
        <v>2023</v>
      </c>
      <c r="AA223" t="str">
        <f>TEXT(SalesData[[#This Row],[Order Date]],"mmm")</f>
        <v>Feb</v>
      </c>
      <c r="AB22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24" spans="1:28">
      <c r="A224">
        <v>224</v>
      </c>
      <c r="B224" t="s">
        <v>1444</v>
      </c>
      <c r="C224" s="1">
        <v>44967</v>
      </c>
      <c r="D224" s="1">
        <v>44970</v>
      </c>
      <c r="E224" t="s">
        <v>36</v>
      </c>
      <c r="F224" t="s">
        <v>1445</v>
      </c>
      <c r="G224" t="s">
        <v>1446</v>
      </c>
      <c r="H224" t="s">
        <v>25</v>
      </c>
      <c r="I224" t="s">
        <v>26</v>
      </c>
      <c r="J224" t="s">
        <v>52</v>
      </c>
      <c r="K224" t="s">
        <v>52</v>
      </c>
      <c r="L224">
        <v>15213</v>
      </c>
      <c r="M224" t="s">
        <v>41</v>
      </c>
      <c r="N224" t="s">
        <v>1447</v>
      </c>
      <c r="O224" t="s">
        <v>43</v>
      </c>
      <c r="P224" t="s">
        <v>189</v>
      </c>
      <c r="Q224" t="s">
        <v>1249</v>
      </c>
      <c r="R224" t="s">
        <v>1448</v>
      </c>
      <c r="S224">
        <v>3</v>
      </c>
      <c r="T224" s="2">
        <v>0.15</v>
      </c>
      <c r="U224" t="s">
        <v>1449</v>
      </c>
      <c r="V224" t="str">
        <f>CHOOSE(MOD(SalesData[[#This Row],[Row ID]]-1,8)+1,"Aarav Sharma","Ananya Singh","Rohan Verma","Priya Gupta","Arjun Mehta","Neha Kapoor","Rahul Joshi","Sneha Patel")</f>
        <v>Sneha Patel</v>
      </c>
      <c r="W22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24" s="8">
        <f>IFERROR(VALUE(SUBSTITUTE(SUBSTITUTE(SalesData[[#This Row],[Profit]],"$",""),",",""))/VALUE(SUBSTITUTE(SUBSTITUTE(SalesData[[#This Row],[Sales]],"$",""),",","")),0)</f>
        <v>0.1782421634910879</v>
      </c>
      <c r="Y224" s="6">
        <f>IFERROR(VALUE(SUBSTITUTE(SUBSTITUTE(SalesData[[#This Row],[Sales]],"$",""),",",""))/SalesData[[#This Row],[Quantity]],0)</f>
        <v>37.963333333333331</v>
      </c>
      <c r="Z224">
        <f>YEAR(SalesData[[#This Row],[Order Date]])</f>
        <v>2023</v>
      </c>
      <c r="AA224" t="str">
        <f>TEXT(SalesData[[#This Row],[Order Date]],"mmm")</f>
        <v>Feb</v>
      </c>
      <c r="AB22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25" spans="1:28">
      <c r="A225">
        <v>116</v>
      </c>
      <c r="B225" t="s">
        <v>1450</v>
      </c>
      <c r="C225" s="1">
        <v>44969</v>
      </c>
      <c r="D225" s="1">
        <v>44971</v>
      </c>
      <c r="E225" t="s">
        <v>36</v>
      </c>
      <c r="F225" t="s">
        <v>1451</v>
      </c>
      <c r="G225" t="s">
        <v>1452</v>
      </c>
      <c r="H225" t="s">
        <v>25</v>
      </c>
      <c r="I225" t="s">
        <v>26</v>
      </c>
      <c r="J225" t="s">
        <v>301</v>
      </c>
      <c r="K225" t="s">
        <v>301</v>
      </c>
      <c r="L225">
        <v>86295</v>
      </c>
      <c r="M225" t="s">
        <v>73</v>
      </c>
      <c r="N225" t="s">
        <v>1453</v>
      </c>
      <c r="O225" t="s">
        <v>64</v>
      </c>
      <c r="P225" t="s">
        <v>65</v>
      </c>
      <c r="Q225" t="s">
        <v>1454</v>
      </c>
      <c r="R225" t="s">
        <v>1455</v>
      </c>
      <c r="S225">
        <v>4</v>
      </c>
      <c r="T225" s="2">
        <v>0.1</v>
      </c>
      <c r="U225" t="s">
        <v>1456</v>
      </c>
      <c r="V225" t="str">
        <f>CHOOSE(MOD(SalesData[[#This Row],[Row ID]]-1,8)+1,"Aarav Sharma","Ananya Singh","Rohan Verma","Priya Gupta","Arjun Mehta","Neha Kapoor","Rahul Joshi","Sneha Patel")</f>
        <v>Priya Gupta</v>
      </c>
      <c r="W22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25" s="8">
        <f>IFERROR(VALUE(SUBSTITUTE(SUBSTITUTE(SalesData[[#This Row],[Profit]],"$",""),",",""))/VALUE(SUBSTITUTE(SUBSTITUTE(SalesData[[#This Row],[Sales]],"$",""),",","")),0)</f>
        <v>0.19044653422183472</v>
      </c>
      <c r="Y225" s="6">
        <f>IFERROR(VALUE(SUBSTITUTE(SUBSTITUTE(SalesData[[#This Row],[Sales]],"$",""),",",""))/SalesData[[#This Row],[Quantity]],0)</f>
        <v>120.42749999999999</v>
      </c>
      <c r="Z225">
        <f>YEAR(SalesData[[#This Row],[Order Date]])</f>
        <v>2023</v>
      </c>
      <c r="AA225" t="str">
        <f>TEXT(SalesData[[#This Row],[Order Date]],"mmm")</f>
        <v>Feb</v>
      </c>
      <c r="AB22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26" spans="1:28">
      <c r="A226">
        <v>513</v>
      </c>
      <c r="B226" t="s">
        <v>1457</v>
      </c>
      <c r="C226" s="1">
        <v>44971</v>
      </c>
      <c r="D226" s="1">
        <v>44976</v>
      </c>
      <c r="E226" t="s">
        <v>36</v>
      </c>
      <c r="F226" t="s">
        <v>1458</v>
      </c>
      <c r="G226" t="s">
        <v>349</v>
      </c>
      <c r="H226" t="s">
        <v>25</v>
      </c>
      <c r="I226" t="s">
        <v>26</v>
      </c>
      <c r="J226" t="s">
        <v>229</v>
      </c>
      <c r="K226" t="s">
        <v>229</v>
      </c>
      <c r="L226">
        <v>63444</v>
      </c>
      <c r="M226" t="s">
        <v>73</v>
      </c>
      <c r="N226" t="s">
        <v>1135</v>
      </c>
      <c r="O226" t="s">
        <v>64</v>
      </c>
      <c r="P226" t="s">
        <v>405</v>
      </c>
      <c r="Q226" t="s">
        <v>1459</v>
      </c>
      <c r="R226" t="s">
        <v>1460</v>
      </c>
      <c r="S226">
        <v>5</v>
      </c>
      <c r="T226" s="2">
        <v>0</v>
      </c>
      <c r="U226" t="s">
        <v>1461</v>
      </c>
      <c r="V226" t="str">
        <f>CHOOSE(MOD(SalesData[[#This Row],[Row ID]]-1,8)+1,"Aarav Sharma","Ananya Singh","Rohan Verma","Priya Gupta","Arjun Mehta","Neha Kapoor","Rahul Joshi","Sneha Patel")</f>
        <v>Aarav Sharma</v>
      </c>
      <c r="W22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26" s="8">
        <f>IFERROR(VALUE(SUBSTITUTE(SUBSTITUTE(SalesData[[#This Row],[Profit]],"$",""),",",""))/VALUE(SUBSTITUTE(SUBSTITUTE(SalesData[[#This Row],[Sales]],"$",""),",","")),0)</f>
        <v>0.29751284130846173</v>
      </c>
      <c r="Y226" s="6">
        <f>IFERROR(VALUE(SUBSTITUTE(SUBSTITUTE(SalesData[[#This Row],[Sales]],"$",""),",",""))/SalesData[[#This Row],[Quantity]],0)</f>
        <v>14.796000000000001</v>
      </c>
      <c r="Z226">
        <f>YEAR(SalesData[[#This Row],[Order Date]])</f>
        <v>2023</v>
      </c>
      <c r="AA226" t="str">
        <f>TEXT(SalesData[[#This Row],[Order Date]],"mmm")</f>
        <v>Feb</v>
      </c>
      <c r="AB22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27" spans="1:28">
      <c r="A227">
        <v>263</v>
      </c>
      <c r="B227" t="s">
        <v>1462</v>
      </c>
      <c r="C227" s="1">
        <v>44971</v>
      </c>
      <c r="D227" s="1">
        <v>44973</v>
      </c>
      <c r="E227" t="s">
        <v>36</v>
      </c>
      <c r="F227" t="s">
        <v>1463</v>
      </c>
      <c r="G227" t="s">
        <v>1123</v>
      </c>
      <c r="H227" t="s">
        <v>25</v>
      </c>
      <c r="I227" t="s">
        <v>26</v>
      </c>
      <c r="J227" t="s">
        <v>157</v>
      </c>
      <c r="K227" t="s">
        <v>157</v>
      </c>
      <c r="L227">
        <v>43783</v>
      </c>
      <c r="M227" t="s">
        <v>62</v>
      </c>
      <c r="N227" t="s">
        <v>1464</v>
      </c>
      <c r="O227" t="s">
        <v>43</v>
      </c>
      <c r="P227" t="s">
        <v>44</v>
      </c>
      <c r="Q227" t="s">
        <v>650</v>
      </c>
      <c r="R227" t="s">
        <v>1465</v>
      </c>
      <c r="S227">
        <v>2</v>
      </c>
      <c r="T227" s="2">
        <v>0.3</v>
      </c>
      <c r="U227" t="s">
        <v>1466</v>
      </c>
      <c r="V227" t="str">
        <f>CHOOSE(MOD(SalesData[[#This Row],[Row ID]]-1,8)+1,"Aarav Sharma","Ananya Singh","Rohan Verma","Priya Gupta","Arjun Mehta","Neha Kapoor","Rahul Joshi","Sneha Patel")</f>
        <v>Rahul Joshi</v>
      </c>
      <c r="W22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27" s="8">
        <f>IFERROR(VALUE(SUBSTITUTE(SUBSTITUTE(SalesData[[#This Row],[Profit]],"$",""),",",""))/VALUE(SUBSTITUTE(SUBSTITUTE(SalesData[[#This Row],[Sales]],"$",""),",","")),0)</f>
        <v>-3.5280508964719494E-2</v>
      </c>
      <c r="Y227" s="6">
        <f>IFERROR(VALUE(SUBSTITUTE(SUBSTITUTE(SalesData[[#This Row],[Sales]],"$",""),",",""))/SalesData[[#This Row],[Quantity]],0)</f>
        <v>17.29</v>
      </c>
      <c r="Z227">
        <f>YEAR(SalesData[[#This Row],[Order Date]])</f>
        <v>2023</v>
      </c>
      <c r="AA227" t="str">
        <f>TEXT(SalesData[[#This Row],[Order Date]],"mmm")</f>
        <v>Feb</v>
      </c>
      <c r="AB22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28" spans="1:28">
      <c r="A228">
        <v>176</v>
      </c>
      <c r="B228" t="s">
        <v>1467</v>
      </c>
      <c r="C228" s="1">
        <v>44973</v>
      </c>
      <c r="D228" s="1">
        <v>44976</v>
      </c>
      <c r="E228" t="s">
        <v>382</v>
      </c>
      <c r="F228" t="s">
        <v>1468</v>
      </c>
      <c r="G228" t="s">
        <v>464</v>
      </c>
      <c r="H228" t="s">
        <v>39</v>
      </c>
      <c r="I228" t="s">
        <v>26</v>
      </c>
      <c r="J228" t="s">
        <v>212</v>
      </c>
      <c r="K228" t="s">
        <v>212</v>
      </c>
      <c r="L228">
        <v>87240</v>
      </c>
      <c r="M228" t="s">
        <v>28</v>
      </c>
      <c r="N228" t="s">
        <v>1469</v>
      </c>
      <c r="O228" t="s">
        <v>43</v>
      </c>
      <c r="P228" t="s">
        <v>128</v>
      </c>
      <c r="Q228" t="s">
        <v>656</v>
      </c>
      <c r="R228" t="s">
        <v>1470</v>
      </c>
      <c r="S228">
        <v>4</v>
      </c>
      <c r="T228" s="2">
        <v>0.15</v>
      </c>
      <c r="U228" t="s">
        <v>1471</v>
      </c>
      <c r="V228" t="str">
        <f>CHOOSE(MOD(SalesData[[#This Row],[Row ID]]-1,8)+1,"Aarav Sharma","Ananya Singh","Rohan Verma","Priya Gupta","Arjun Mehta","Neha Kapoor","Rahul Joshi","Sneha Patel")</f>
        <v>Sneha Patel</v>
      </c>
      <c r="W22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28" s="8">
        <f>IFERROR(VALUE(SUBSTITUTE(SUBSTITUTE(SalesData[[#This Row],[Profit]],"$",""),",",""))/VALUE(SUBSTITUTE(SUBSTITUTE(SalesData[[#This Row],[Sales]],"$",""),",","")),0)</f>
        <v>4.5803620405924297E-2</v>
      </c>
      <c r="Y228" s="6">
        <f>IFERROR(VALUE(SUBSTITUTE(SUBSTITUTE(SalesData[[#This Row],[Sales]],"$",""),",",""))/SalesData[[#This Row],[Quantity]],0)</f>
        <v>9.1150000000000002</v>
      </c>
      <c r="Z228">
        <f>YEAR(SalesData[[#This Row],[Order Date]])</f>
        <v>2023</v>
      </c>
      <c r="AA228" t="str">
        <f>TEXT(SalesData[[#This Row],[Order Date]],"mmm")</f>
        <v>Feb</v>
      </c>
      <c r="AB22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29" spans="1:28">
      <c r="A229">
        <v>535</v>
      </c>
      <c r="B229" t="s">
        <v>1472</v>
      </c>
      <c r="C229" s="1">
        <v>44976</v>
      </c>
      <c r="D229" s="1">
        <v>44980</v>
      </c>
      <c r="E229" t="s">
        <v>22</v>
      </c>
      <c r="F229" t="s">
        <v>1473</v>
      </c>
      <c r="G229" t="s">
        <v>1018</v>
      </c>
      <c r="H229" t="s">
        <v>39</v>
      </c>
      <c r="I229" t="s">
        <v>26</v>
      </c>
      <c r="J229" t="s">
        <v>260</v>
      </c>
      <c r="K229" t="s">
        <v>260</v>
      </c>
      <c r="L229">
        <v>94787</v>
      </c>
      <c r="M229" t="s">
        <v>41</v>
      </c>
      <c r="N229" t="s">
        <v>1474</v>
      </c>
      <c r="O229" t="s">
        <v>43</v>
      </c>
      <c r="P229" t="s">
        <v>128</v>
      </c>
      <c r="Q229" t="s">
        <v>656</v>
      </c>
      <c r="R229" t="s">
        <v>1475</v>
      </c>
      <c r="S229">
        <v>3</v>
      </c>
      <c r="T229" s="2">
        <v>0.05</v>
      </c>
      <c r="U229" t="s">
        <v>1476</v>
      </c>
      <c r="V229" t="str">
        <f>CHOOSE(MOD(SalesData[[#This Row],[Row ID]]-1,8)+1,"Aarav Sharma","Ananya Singh","Rohan Verma","Priya Gupta","Arjun Mehta","Neha Kapoor","Rahul Joshi","Sneha Patel")</f>
        <v>Rahul Joshi</v>
      </c>
      <c r="W22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29" s="8">
        <f>IFERROR(VALUE(SUBSTITUTE(SUBSTITUTE(SalesData[[#This Row],[Profit]],"$",""),",",""))/VALUE(SUBSTITUTE(SUBSTITUTE(SalesData[[#This Row],[Sales]],"$",""),",","")),0)</f>
        <v>0.13093525179856116</v>
      </c>
      <c r="Y229" s="6">
        <f>IFERROR(VALUE(SUBSTITUTE(SUBSTITUTE(SalesData[[#This Row],[Sales]],"$",""),",",""))/SalesData[[#This Row],[Quantity]],0)</f>
        <v>4.6333333333333337</v>
      </c>
      <c r="Z229">
        <f>YEAR(SalesData[[#This Row],[Order Date]])</f>
        <v>2023</v>
      </c>
      <c r="AA229" t="str">
        <f>TEXT(SalesData[[#This Row],[Order Date]],"mmm")</f>
        <v>Feb</v>
      </c>
      <c r="AB22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30" spans="1:28">
      <c r="A230">
        <v>211</v>
      </c>
      <c r="B230" t="s">
        <v>1477</v>
      </c>
      <c r="C230" s="1">
        <v>44977</v>
      </c>
      <c r="D230" s="1">
        <v>44981</v>
      </c>
      <c r="E230" t="s">
        <v>49</v>
      </c>
      <c r="F230" t="s">
        <v>1478</v>
      </c>
      <c r="G230" t="s">
        <v>1479</v>
      </c>
      <c r="H230" t="s">
        <v>39</v>
      </c>
      <c r="I230" t="s">
        <v>26</v>
      </c>
      <c r="J230" t="s">
        <v>212</v>
      </c>
      <c r="K230" t="s">
        <v>212</v>
      </c>
      <c r="L230">
        <v>59810</v>
      </c>
      <c r="M230" t="s">
        <v>28</v>
      </c>
      <c r="N230" t="s">
        <v>1480</v>
      </c>
      <c r="O230" t="s">
        <v>30</v>
      </c>
      <c r="P230" t="s">
        <v>120</v>
      </c>
      <c r="Q230" t="s">
        <v>357</v>
      </c>
      <c r="R230" t="s">
        <v>1481</v>
      </c>
      <c r="S230">
        <v>1</v>
      </c>
      <c r="T230" s="2">
        <v>0.15</v>
      </c>
      <c r="U230" t="s">
        <v>1482</v>
      </c>
      <c r="V230" t="str">
        <f>CHOOSE(MOD(SalesData[[#This Row],[Row ID]]-1,8)+1,"Aarav Sharma","Ananya Singh","Rohan Verma","Priya Gupta","Arjun Mehta","Neha Kapoor","Rahul Joshi","Sneha Patel")</f>
        <v>Rohan Verma</v>
      </c>
      <c r="W23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30" s="8">
        <f>IFERROR(VALUE(SUBSTITUTE(SUBSTITUTE(SalesData[[#This Row],[Profit]],"$",""),",",""))/VALUE(SUBSTITUTE(SUBSTITUTE(SalesData[[#This Row],[Sales]],"$",""),",","")),0)</f>
        <v>9.1818562748795324E-2</v>
      </c>
      <c r="Y230" s="6">
        <f>IFERROR(VALUE(SUBSTITUTE(SUBSTITUTE(SalesData[[#This Row],[Sales]],"$",""),",",""))/SalesData[[#This Row],[Quantity]],0)</f>
        <v>190.92</v>
      </c>
      <c r="Z230">
        <f>YEAR(SalesData[[#This Row],[Order Date]])</f>
        <v>2023</v>
      </c>
      <c r="AA230" t="str">
        <f>TEXT(SalesData[[#This Row],[Order Date]],"mmm")</f>
        <v>Feb</v>
      </c>
      <c r="AB23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31" spans="1:28">
      <c r="A231">
        <v>25</v>
      </c>
      <c r="B231" t="s">
        <v>1483</v>
      </c>
      <c r="C231" s="1">
        <v>44979</v>
      </c>
      <c r="D231" s="1">
        <v>44981</v>
      </c>
      <c r="E231" t="s">
        <v>22</v>
      </c>
      <c r="F231" t="s">
        <v>1484</v>
      </c>
      <c r="G231" t="s">
        <v>1147</v>
      </c>
      <c r="H231" t="s">
        <v>25</v>
      </c>
      <c r="I231" t="s">
        <v>26</v>
      </c>
      <c r="J231" t="s">
        <v>40</v>
      </c>
      <c r="K231" t="s">
        <v>40</v>
      </c>
      <c r="L231">
        <v>95999</v>
      </c>
      <c r="M231" t="s">
        <v>41</v>
      </c>
      <c r="N231" t="s">
        <v>1485</v>
      </c>
      <c r="O231" t="s">
        <v>30</v>
      </c>
      <c r="P231" t="s">
        <v>31</v>
      </c>
      <c r="Q231" t="s">
        <v>726</v>
      </c>
      <c r="R231" t="s">
        <v>1486</v>
      </c>
      <c r="S231">
        <v>5</v>
      </c>
      <c r="T231" s="2">
        <v>0.1</v>
      </c>
      <c r="U231" t="s">
        <v>1487</v>
      </c>
      <c r="V231" t="str">
        <f>CHOOSE(MOD(SalesData[[#This Row],[Row ID]]-1,8)+1,"Aarav Sharma","Ananya Singh","Rohan Verma","Priya Gupta","Arjun Mehta","Neha Kapoor","Rahul Joshi","Sneha Patel")</f>
        <v>Aarav Sharma</v>
      </c>
      <c r="W23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31" s="8">
        <f>IFERROR(VALUE(SUBSTITUTE(SUBSTITUTE(SalesData[[#This Row],[Profit]],"$",""),",",""))/VALUE(SUBSTITUTE(SUBSTITUTE(SalesData[[#This Row],[Sales]],"$",""),",","")),0)</f>
        <v>9.4822208359326254E-2</v>
      </c>
      <c r="Y231" s="6">
        <f>IFERROR(VALUE(SUBSTITUTE(SUBSTITUTE(SalesData[[#This Row],[Sales]],"$",""),",",""))/SalesData[[#This Row],[Quantity]],0)</f>
        <v>35.266000000000005</v>
      </c>
      <c r="Z231">
        <f>YEAR(SalesData[[#This Row],[Order Date]])</f>
        <v>2023</v>
      </c>
      <c r="AA231" t="str">
        <f>TEXT(SalesData[[#This Row],[Order Date]],"mmm")</f>
        <v>Feb</v>
      </c>
      <c r="AB23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32" spans="1:28">
      <c r="A232">
        <v>288</v>
      </c>
      <c r="B232" t="s">
        <v>1488</v>
      </c>
      <c r="C232" s="1">
        <v>44980</v>
      </c>
      <c r="D232" s="1">
        <v>44983</v>
      </c>
      <c r="E232" t="s">
        <v>22</v>
      </c>
      <c r="F232" t="s">
        <v>1489</v>
      </c>
      <c r="G232" t="s">
        <v>614</v>
      </c>
      <c r="H232" t="s">
        <v>60</v>
      </c>
      <c r="I232" t="s">
        <v>26</v>
      </c>
      <c r="J232" t="s">
        <v>363</v>
      </c>
      <c r="K232" t="s">
        <v>363</v>
      </c>
      <c r="L232">
        <v>15974</v>
      </c>
      <c r="M232" t="s">
        <v>62</v>
      </c>
      <c r="N232" t="s">
        <v>1490</v>
      </c>
      <c r="O232" t="s">
        <v>30</v>
      </c>
      <c r="P232" t="s">
        <v>222</v>
      </c>
      <c r="Q232" t="s">
        <v>1491</v>
      </c>
      <c r="R232" t="s">
        <v>1492</v>
      </c>
      <c r="S232">
        <v>7</v>
      </c>
      <c r="T232" s="2">
        <v>0.15</v>
      </c>
      <c r="U232" t="s">
        <v>1493</v>
      </c>
      <c r="V232" t="str">
        <f>CHOOSE(MOD(SalesData[[#This Row],[Row ID]]-1,8)+1,"Aarav Sharma","Ananya Singh","Rohan Verma","Priya Gupta","Arjun Mehta","Neha Kapoor","Rahul Joshi","Sneha Patel")</f>
        <v>Sneha Patel</v>
      </c>
      <c r="W23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32" s="8">
        <f>IFERROR(VALUE(SUBSTITUTE(SUBSTITUTE(SalesData[[#This Row],[Profit]],"$",""),",",""))/VALUE(SUBSTITUTE(SUBSTITUTE(SalesData[[#This Row],[Sales]],"$",""),",","")),0)</f>
        <v>9.8939736705824632E-3</v>
      </c>
      <c r="Y232" s="6">
        <f>IFERROR(VALUE(SUBSTITUTE(SUBSTITUTE(SalesData[[#This Row],[Sales]],"$",""),",",""))/SalesData[[#This Row],[Quantity]],0)</f>
        <v>52.412857142857142</v>
      </c>
      <c r="Z232">
        <f>YEAR(SalesData[[#This Row],[Order Date]])</f>
        <v>2023</v>
      </c>
      <c r="AA232" t="str">
        <f>TEXT(SalesData[[#This Row],[Order Date]],"mmm")</f>
        <v>Feb</v>
      </c>
      <c r="AB23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33" spans="1:28">
      <c r="A233">
        <v>121</v>
      </c>
      <c r="B233" t="s">
        <v>1494</v>
      </c>
      <c r="C233" s="1">
        <v>44982</v>
      </c>
      <c r="D233" s="1">
        <v>44985</v>
      </c>
      <c r="E233" t="s">
        <v>49</v>
      </c>
      <c r="F233" t="s">
        <v>1495</v>
      </c>
      <c r="G233" t="s">
        <v>1496</v>
      </c>
      <c r="H233" t="s">
        <v>39</v>
      </c>
      <c r="I233" t="s">
        <v>26</v>
      </c>
      <c r="J233" t="s">
        <v>27</v>
      </c>
      <c r="K233" t="s">
        <v>27</v>
      </c>
      <c r="L233">
        <v>59666</v>
      </c>
      <c r="M233" t="s">
        <v>28</v>
      </c>
      <c r="N233" t="s">
        <v>1497</v>
      </c>
      <c r="O233" t="s">
        <v>43</v>
      </c>
      <c r="P233" t="s">
        <v>189</v>
      </c>
      <c r="Q233" t="s">
        <v>1498</v>
      </c>
      <c r="R233" t="s">
        <v>1499</v>
      </c>
      <c r="S233">
        <v>2</v>
      </c>
      <c r="T233" s="2">
        <v>0.15</v>
      </c>
      <c r="U233" t="s">
        <v>1500</v>
      </c>
      <c r="V233" t="str">
        <f>CHOOSE(MOD(SalesData[[#This Row],[Row ID]]-1,8)+1,"Aarav Sharma","Ananya Singh","Rohan Verma","Priya Gupta","Arjun Mehta","Neha Kapoor","Rahul Joshi","Sneha Patel")</f>
        <v>Aarav Sharma</v>
      </c>
      <c r="W23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33" s="8">
        <f>IFERROR(VALUE(SUBSTITUTE(SUBSTITUTE(SalesData[[#This Row],[Profit]],"$",""),",",""))/VALUE(SUBSTITUTE(SUBSTITUTE(SalesData[[#This Row],[Sales]],"$",""),",","")),0)</f>
        <v>0.13277724600027352</v>
      </c>
      <c r="Y233" s="6">
        <f>IFERROR(VALUE(SUBSTITUTE(SUBSTITUTE(SalesData[[#This Row],[Sales]],"$",""),",",""))/SalesData[[#This Row],[Quantity]],0)</f>
        <v>73.13</v>
      </c>
      <c r="Z233">
        <f>YEAR(SalesData[[#This Row],[Order Date]])</f>
        <v>2023</v>
      </c>
      <c r="AA233" t="str">
        <f>TEXT(SalesData[[#This Row],[Order Date]],"mmm")</f>
        <v>Feb</v>
      </c>
      <c r="AB23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34" spans="1:28">
      <c r="A234">
        <v>346</v>
      </c>
      <c r="B234" t="s">
        <v>1501</v>
      </c>
      <c r="C234" s="1">
        <v>44985</v>
      </c>
      <c r="D234" s="1">
        <v>44987</v>
      </c>
      <c r="E234" t="s">
        <v>49</v>
      </c>
      <c r="F234" t="s">
        <v>1502</v>
      </c>
      <c r="G234" t="s">
        <v>1503</v>
      </c>
      <c r="H234" t="s">
        <v>25</v>
      </c>
      <c r="I234" t="s">
        <v>26</v>
      </c>
      <c r="J234" t="s">
        <v>61</v>
      </c>
      <c r="K234" t="s">
        <v>61</v>
      </c>
      <c r="L234">
        <v>97318</v>
      </c>
      <c r="M234" t="s">
        <v>62</v>
      </c>
      <c r="N234" t="s">
        <v>1299</v>
      </c>
      <c r="O234" t="s">
        <v>30</v>
      </c>
      <c r="P234" t="s">
        <v>197</v>
      </c>
      <c r="Q234" t="s">
        <v>1504</v>
      </c>
      <c r="R234" t="s">
        <v>1505</v>
      </c>
      <c r="S234">
        <v>6</v>
      </c>
      <c r="T234" s="2">
        <v>0.1</v>
      </c>
      <c r="U234" t="s">
        <v>1506</v>
      </c>
      <c r="V234" t="str">
        <f>CHOOSE(MOD(SalesData[[#This Row],[Row ID]]-1,8)+1,"Aarav Sharma","Ananya Singh","Rohan Verma","Priya Gupta","Arjun Mehta","Neha Kapoor","Rahul Joshi","Sneha Patel")</f>
        <v>Ananya Singh</v>
      </c>
      <c r="W23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34" s="8">
        <f>IFERROR(VALUE(SUBSTITUTE(SUBSTITUTE(SalesData[[#This Row],[Profit]],"$",""),",",""))/VALUE(SUBSTITUTE(SUBSTITUTE(SalesData[[#This Row],[Sales]],"$",""),",","")),0)</f>
        <v>0.11194247400641337</v>
      </c>
      <c r="Y234" s="6">
        <f>IFERROR(VALUE(SUBSTITUTE(SUBSTITUTE(SalesData[[#This Row],[Sales]],"$",""),",",""))/SalesData[[#This Row],[Quantity]],0)</f>
        <v>17.151666666666667</v>
      </c>
      <c r="Z234">
        <f>YEAR(SalesData[[#This Row],[Order Date]])</f>
        <v>2023</v>
      </c>
      <c r="AA234" t="str">
        <f>TEXT(SalesData[[#This Row],[Order Date]],"mmm")</f>
        <v>Feb</v>
      </c>
      <c r="AB23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35" spans="1:28">
      <c r="A235">
        <v>488</v>
      </c>
      <c r="B235" t="s">
        <v>1507</v>
      </c>
      <c r="C235" s="1">
        <v>44988</v>
      </c>
      <c r="D235" s="1">
        <v>44993</v>
      </c>
      <c r="E235" t="s">
        <v>36</v>
      </c>
      <c r="F235" t="s">
        <v>1508</v>
      </c>
      <c r="G235" t="s">
        <v>315</v>
      </c>
      <c r="H235" t="s">
        <v>25</v>
      </c>
      <c r="I235" t="s">
        <v>26</v>
      </c>
      <c r="J235" t="s">
        <v>438</v>
      </c>
      <c r="K235" t="s">
        <v>438</v>
      </c>
      <c r="L235">
        <v>79835</v>
      </c>
      <c r="M235" t="s">
        <v>28</v>
      </c>
      <c r="N235" t="s">
        <v>1509</v>
      </c>
      <c r="O235" t="s">
        <v>64</v>
      </c>
      <c r="P235" t="s">
        <v>405</v>
      </c>
      <c r="Q235" t="s">
        <v>1510</v>
      </c>
      <c r="R235" t="s">
        <v>1511</v>
      </c>
      <c r="S235">
        <v>2</v>
      </c>
      <c r="T235" s="2">
        <v>0.3</v>
      </c>
      <c r="U235" t="s">
        <v>1512</v>
      </c>
      <c r="V235" t="str">
        <f>CHOOSE(MOD(SalesData[[#This Row],[Row ID]]-1,8)+1,"Aarav Sharma","Ananya Singh","Rohan Verma","Priya Gupta","Arjun Mehta","Neha Kapoor","Rahul Joshi","Sneha Patel")</f>
        <v>Sneha Patel</v>
      </c>
      <c r="W23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35" s="8">
        <f>IFERROR(VALUE(SUBSTITUTE(SUBSTITUTE(SalesData[[#This Row],[Profit]],"$",""),",",""))/VALUE(SUBSTITUTE(SUBSTITUTE(SalesData[[#This Row],[Sales]],"$",""),",","")),0)</f>
        <v>0.12463039621525725</v>
      </c>
      <c r="Y235" s="6">
        <f>IFERROR(VALUE(SUBSTITUTE(SUBSTITUTE(SalesData[[#This Row],[Sales]],"$",""),",",""))/SalesData[[#This Row],[Quantity]],0)</f>
        <v>101.46</v>
      </c>
      <c r="Z235">
        <f>YEAR(SalesData[[#This Row],[Order Date]])</f>
        <v>2023</v>
      </c>
      <c r="AA235" t="str">
        <f>TEXT(SalesData[[#This Row],[Order Date]],"mmm")</f>
        <v>Mar</v>
      </c>
      <c r="AB23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36" spans="1:28">
      <c r="A236">
        <v>470</v>
      </c>
      <c r="B236" t="s">
        <v>1513</v>
      </c>
      <c r="C236" s="1">
        <v>44994</v>
      </c>
      <c r="D236" s="1">
        <v>45000</v>
      </c>
      <c r="E236" t="s">
        <v>36</v>
      </c>
      <c r="F236" t="s">
        <v>1514</v>
      </c>
      <c r="G236" t="s">
        <v>1265</v>
      </c>
      <c r="H236" t="s">
        <v>25</v>
      </c>
      <c r="I236" t="s">
        <v>26</v>
      </c>
      <c r="J236" t="s">
        <v>229</v>
      </c>
      <c r="K236" t="s">
        <v>229</v>
      </c>
      <c r="L236">
        <v>85312</v>
      </c>
      <c r="M236" t="s">
        <v>73</v>
      </c>
      <c r="N236" t="s">
        <v>1515</v>
      </c>
      <c r="O236" t="s">
        <v>43</v>
      </c>
      <c r="P236" t="s">
        <v>189</v>
      </c>
      <c r="Q236" t="s">
        <v>905</v>
      </c>
      <c r="R236" t="s">
        <v>1173</v>
      </c>
      <c r="S236">
        <v>1</v>
      </c>
      <c r="T236" s="2">
        <v>0.15</v>
      </c>
      <c r="U236" t="s">
        <v>1516</v>
      </c>
      <c r="V236" t="str">
        <f>CHOOSE(MOD(SalesData[[#This Row],[Row ID]]-1,8)+1,"Aarav Sharma","Ananya Singh","Rohan Verma","Priya Gupta","Arjun Mehta","Neha Kapoor","Rahul Joshi","Sneha Patel")</f>
        <v>Neha Kapoor</v>
      </c>
      <c r="W23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36" s="8">
        <f>IFERROR(VALUE(SUBSTITUTE(SUBSTITUTE(SalesData[[#This Row],[Profit]],"$",""),",",""))/VALUE(SUBSTITUTE(SUBSTITUTE(SalesData[[#This Row],[Sales]],"$",""),",","")),0)</f>
        <v>0.1225</v>
      </c>
      <c r="Y236" s="6">
        <f>IFERROR(VALUE(SUBSTITUTE(SUBSTITUTE(SalesData[[#This Row],[Sales]],"$",""),",",""))/SalesData[[#This Row],[Quantity]],0)</f>
        <v>8</v>
      </c>
      <c r="Z236">
        <f>YEAR(SalesData[[#This Row],[Order Date]])</f>
        <v>2023</v>
      </c>
      <c r="AA236" t="str">
        <f>TEXT(SalesData[[#This Row],[Order Date]],"mmm")</f>
        <v>Mar</v>
      </c>
      <c r="AB23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37" spans="1:28">
      <c r="A237">
        <v>455</v>
      </c>
      <c r="B237" t="s">
        <v>1517</v>
      </c>
      <c r="C237" s="1">
        <v>44995</v>
      </c>
      <c r="D237" s="1">
        <v>45000</v>
      </c>
      <c r="E237" t="s">
        <v>36</v>
      </c>
      <c r="F237" t="s">
        <v>1518</v>
      </c>
      <c r="G237" t="s">
        <v>1519</v>
      </c>
      <c r="H237" t="s">
        <v>25</v>
      </c>
      <c r="I237" t="s">
        <v>26</v>
      </c>
      <c r="J237" t="s">
        <v>81</v>
      </c>
      <c r="K237" t="s">
        <v>81</v>
      </c>
      <c r="L237">
        <v>12402</v>
      </c>
      <c r="M237" t="s">
        <v>62</v>
      </c>
      <c r="N237" t="s">
        <v>1520</v>
      </c>
      <c r="O237" t="s">
        <v>30</v>
      </c>
      <c r="P237" t="s">
        <v>31</v>
      </c>
      <c r="Q237" t="s">
        <v>1521</v>
      </c>
      <c r="R237" t="s">
        <v>1522</v>
      </c>
      <c r="S237">
        <v>7</v>
      </c>
      <c r="T237" s="2">
        <v>0.2</v>
      </c>
      <c r="U237" t="s">
        <v>1523</v>
      </c>
      <c r="V237" t="str">
        <f>CHOOSE(MOD(SalesData[[#This Row],[Row ID]]-1,8)+1,"Aarav Sharma","Ananya Singh","Rohan Verma","Priya Gupta","Arjun Mehta","Neha Kapoor","Rahul Joshi","Sneha Patel")</f>
        <v>Rahul Joshi</v>
      </c>
      <c r="W23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37" s="8">
        <f>IFERROR(VALUE(SUBSTITUTE(SUBSTITUTE(SalesData[[#This Row],[Profit]],"$",""),",",""))/VALUE(SUBSTITUTE(SUBSTITUTE(SalesData[[#This Row],[Sales]],"$",""),",","")),0)</f>
        <v>-5.2126607319485659E-2</v>
      </c>
      <c r="Y237" s="6">
        <f>IFERROR(VALUE(SUBSTITUTE(SUBSTITUTE(SalesData[[#This Row],[Sales]],"$",""),",",""))/SalesData[[#This Row],[Quantity]],0)</f>
        <v>14.442857142857141</v>
      </c>
      <c r="Z237">
        <f>YEAR(SalesData[[#This Row],[Order Date]])</f>
        <v>2023</v>
      </c>
      <c r="AA237" t="str">
        <f>TEXT(SalesData[[#This Row],[Order Date]],"mmm")</f>
        <v>Mar</v>
      </c>
      <c r="AB23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38" spans="1:28">
      <c r="A238">
        <v>370</v>
      </c>
      <c r="B238" t="s">
        <v>1524</v>
      </c>
      <c r="C238" s="1">
        <v>44995</v>
      </c>
      <c r="D238" s="1">
        <v>44997</v>
      </c>
      <c r="E238" t="s">
        <v>36</v>
      </c>
      <c r="F238" t="s">
        <v>1525</v>
      </c>
      <c r="G238" t="s">
        <v>259</v>
      </c>
      <c r="H238" t="s">
        <v>25</v>
      </c>
      <c r="I238" t="s">
        <v>26</v>
      </c>
      <c r="J238" t="s">
        <v>363</v>
      </c>
      <c r="K238" t="s">
        <v>363</v>
      </c>
      <c r="L238">
        <v>59252</v>
      </c>
      <c r="M238" t="s">
        <v>62</v>
      </c>
      <c r="N238" t="s">
        <v>1526</v>
      </c>
      <c r="O238" t="s">
        <v>43</v>
      </c>
      <c r="P238" t="s">
        <v>44</v>
      </c>
      <c r="Q238" t="s">
        <v>1527</v>
      </c>
      <c r="R238" t="s">
        <v>1528</v>
      </c>
      <c r="S238">
        <v>5</v>
      </c>
      <c r="T238" s="2">
        <v>0.15</v>
      </c>
      <c r="U238" t="s">
        <v>1529</v>
      </c>
      <c r="V238" t="str">
        <f>CHOOSE(MOD(SalesData[[#This Row],[Row ID]]-1,8)+1,"Aarav Sharma","Ananya Singh","Rohan Verma","Priya Gupta","Arjun Mehta","Neha Kapoor","Rahul Joshi","Sneha Patel")</f>
        <v>Ananya Singh</v>
      </c>
      <c r="W23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38" s="8">
        <f>IFERROR(VALUE(SUBSTITUTE(SUBSTITUTE(SalesData[[#This Row],[Profit]],"$",""),",",""))/VALUE(SUBSTITUTE(SUBSTITUTE(SalesData[[#This Row],[Sales]],"$",""),",","")),0)</f>
        <v>7.0841444949167207E-2</v>
      </c>
      <c r="Y238" s="6">
        <f>IFERROR(VALUE(SUBSTITUTE(SUBSTITUTE(SalesData[[#This Row],[Sales]],"$",""),",",""))/SalesData[[#This Row],[Quantity]],0)</f>
        <v>18.491999999999997</v>
      </c>
      <c r="Z238">
        <f>YEAR(SalesData[[#This Row],[Order Date]])</f>
        <v>2023</v>
      </c>
      <c r="AA238" t="str">
        <f>TEXT(SalesData[[#This Row],[Order Date]],"mmm")</f>
        <v>Mar</v>
      </c>
      <c r="AB23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39" spans="1:28">
      <c r="A239">
        <v>133</v>
      </c>
      <c r="B239" t="s">
        <v>1530</v>
      </c>
      <c r="C239" s="1">
        <v>44996</v>
      </c>
      <c r="D239" s="1">
        <v>45000</v>
      </c>
      <c r="E239" t="s">
        <v>49</v>
      </c>
      <c r="F239" t="s">
        <v>1531</v>
      </c>
      <c r="G239" t="s">
        <v>945</v>
      </c>
      <c r="H239" t="s">
        <v>25</v>
      </c>
      <c r="I239" t="s">
        <v>26</v>
      </c>
      <c r="J239" t="s">
        <v>81</v>
      </c>
      <c r="K239" t="s">
        <v>81</v>
      </c>
      <c r="L239">
        <v>24939</v>
      </c>
      <c r="M239" t="s">
        <v>62</v>
      </c>
      <c r="N239" t="s">
        <v>1532</v>
      </c>
      <c r="O239" t="s">
        <v>30</v>
      </c>
      <c r="P239" t="s">
        <v>222</v>
      </c>
      <c r="Q239" t="s">
        <v>1533</v>
      </c>
      <c r="R239" t="s">
        <v>1534</v>
      </c>
      <c r="S239">
        <v>4</v>
      </c>
      <c r="T239" s="2">
        <v>0.3</v>
      </c>
      <c r="U239" t="s">
        <v>1535</v>
      </c>
      <c r="V239" t="str">
        <f>CHOOSE(MOD(SalesData[[#This Row],[Row ID]]-1,8)+1,"Aarav Sharma","Ananya Singh","Rohan Verma","Priya Gupta","Arjun Mehta","Neha Kapoor","Rahul Joshi","Sneha Patel")</f>
        <v>Arjun Mehta</v>
      </c>
      <c r="W23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39" s="8">
        <f>IFERROR(VALUE(SUBSTITUTE(SUBSTITUTE(SalesData[[#This Row],[Profit]],"$",""),",",""))/VALUE(SUBSTITUTE(SUBSTITUTE(SalesData[[#This Row],[Sales]],"$",""),",","")),0)</f>
        <v>-0.115071283095723</v>
      </c>
      <c r="Y239" s="6">
        <f>IFERROR(VALUE(SUBSTITUTE(SUBSTITUTE(SalesData[[#This Row],[Sales]],"$",""),",",""))/SalesData[[#This Row],[Quantity]],0)</f>
        <v>36.825000000000003</v>
      </c>
      <c r="Z239">
        <f>YEAR(SalesData[[#This Row],[Order Date]])</f>
        <v>2023</v>
      </c>
      <c r="AA239" t="str">
        <f>TEXT(SalesData[[#This Row],[Order Date]],"mmm")</f>
        <v>Mar</v>
      </c>
      <c r="AB23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40" spans="1:28">
      <c r="A240">
        <v>190</v>
      </c>
      <c r="B240" t="s">
        <v>1536</v>
      </c>
      <c r="C240" s="1">
        <v>44997</v>
      </c>
      <c r="D240" s="1">
        <v>45001</v>
      </c>
      <c r="E240" t="s">
        <v>49</v>
      </c>
      <c r="F240" t="s">
        <v>1537</v>
      </c>
      <c r="G240" t="s">
        <v>315</v>
      </c>
      <c r="H240" t="s">
        <v>39</v>
      </c>
      <c r="I240" t="s">
        <v>26</v>
      </c>
      <c r="J240" t="s">
        <v>260</v>
      </c>
      <c r="K240" t="s">
        <v>260</v>
      </c>
      <c r="L240">
        <v>75942</v>
      </c>
      <c r="M240" t="s">
        <v>41</v>
      </c>
      <c r="N240" t="s">
        <v>1538</v>
      </c>
      <c r="O240" t="s">
        <v>64</v>
      </c>
      <c r="P240" t="s">
        <v>136</v>
      </c>
      <c r="Q240" t="s">
        <v>1539</v>
      </c>
      <c r="R240" t="s">
        <v>1540</v>
      </c>
      <c r="S240">
        <v>1</v>
      </c>
      <c r="T240" s="2">
        <v>0.15</v>
      </c>
      <c r="U240" t="s">
        <v>1541</v>
      </c>
      <c r="V240" t="str">
        <f>CHOOSE(MOD(SalesData[[#This Row],[Row ID]]-1,8)+1,"Aarav Sharma","Ananya Singh","Rohan Verma","Priya Gupta","Arjun Mehta","Neha Kapoor","Rahul Joshi","Sneha Patel")</f>
        <v>Neha Kapoor</v>
      </c>
      <c r="W24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40" s="8">
        <f>IFERROR(VALUE(SUBSTITUTE(SUBSTITUTE(SalesData[[#This Row],[Profit]],"$",""),",",""))/VALUE(SUBSTITUTE(SUBSTITUTE(SalesData[[#This Row],[Sales]],"$",""),",","")),0)</f>
        <v>0.12652773749844637</v>
      </c>
      <c r="Y240" s="6">
        <f>IFERROR(VALUE(SUBSTITUTE(SUBSTITUTE(SalesData[[#This Row],[Sales]],"$",""),",",""))/SalesData[[#This Row],[Quantity]],0)</f>
        <v>241.37</v>
      </c>
      <c r="Z240">
        <f>YEAR(SalesData[[#This Row],[Order Date]])</f>
        <v>2023</v>
      </c>
      <c r="AA240" t="str">
        <f>TEXT(SalesData[[#This Row],[Order Date]],"mmm")</f>
        <v>Mar</v>
      </c>
      <c r="AB24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41" spans="1:28">
      <c r="A241">
        <v>61</v>
      </c>
      <c r="B241" t="s">
        <v>1542</v>
      </c>
      <c r="C241" s="1">
        <v>45003</v>
      </c>
      <c r="D241" s="1">
        <v>45008</v>
      </c>
      <c r="E241" t="s">
        <v>36</v>
      </c>
      <c r="F241" t="s">
        <v>1543</v>
      </c>
      <c r="G241" t="s">
        <v>932</v>
      </c>
      <c r="H241" t="s">
        <v>60</v>
      </c>
      <c r="I241" t="s">
        <v>26</v>
      </c>
      <c r="J241" t="s">
        <v>81</v>
      </c>
      <c r="K241" t="s">
        <v>81</v>
      </c>
      <c r="L241">
        <v>50809</v>
      </c>
      <c r="M241" t="s">
        <v>62</v>
      </c>
      <c r="N241" t="s">
        <v>1544</v>
      </c>
      <c r="O241" t="s">
        <v>30</v>
      </c>
      <c r="P241" t="s">
        <v>222</v>
      </c>
      <c r="Q241" t="s">
        <v>1315</v>
      </c>
      <c r="R241" t="s">
        <v>1545</v>
      </c>
      <c r="S241">
        <v>1</v>
      </c>
      <c r="T241" s="2">
        <v>0.15</v>
      </c>
      <c r="U241" t="s">
        <v>1546</v>
      </c>
      <c r="V241" t="str">
        <f>CHOOSE(MOD(SalesData[[#This Row],[Row ID]]-1,8)+1,"Aarav Sharma","Ananya Singh","Rohan Verma","Priya Gupta","Arjun Mehta","Neha Kapoor","Rahul Joshi","Sneha Patel")</f>
        <v>Arjun Mehta</v>
      </c>
      <c r="W24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41" s="8">
        <f>IFERROR(VALUE(SUBSTITUTE(SUBSTITUTE(SalesData[[#This Row],[Profit]],"$",""),",",""))/VALUE(SUBSTITUTE(SUBSTITUTE(SalesData[[#This Row],[Sales]],"$",""),",","")),0)</f>
        <v>8.7192590226764621E-2</v>
      </c>
      <c r="Y241" s="6">
        <f>IFERROR(VALUE(SUBSTITUTE(SUBSTITUTE(SalesData[[#This Row],[Sales]],"$",""),",",""))/SalesData[[#This Row],[Quantity]],0)</f>
        <v>31.31</v>
      </c>
      <c r="Z241">
        <f>YEAR(SalesData[[#This Row],[Order Date]])</f>
        <v>2023</v>
      </c>
      <c r="AA241" t="str">
        <f>TEXT(SalesData[[#This Row],[Order Date]],"mmm")</f>
        <v>Mar</v>
      </c>
      <c r="AB24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42" spans="1:28">
      <c r="A242">
        <v>418</v>
      </c>
      <c r="B242" t="s">
        <v>1547</v>
      </c>
      <c r="C242" s="1">
        <v>45004</v>
      </c>
      <c r="D242" s="1">
        <v>45006</v>
      </c>
      <c r="E242" t="s">
        <v>36</v>
      </c>
      <c r="F242" t="s">
        <v>1548</v>
      </c>
      <c r="G242" t="s">
        <v>648</v>
      </c>
      <c r="H242" t="s">
        <v>25</v>
      </c>
      <c r="I242" t="s">
        <v>26</v>
      </c>
      <c r="J242" t="s">
        <v>72</v>
      </c>
      <c r="K242" t="s">
        <v>72</v>
      </c>
      <c r="L242">
        <v>96338</v>
      </c>
      <c r="M242" t="s">
        <v>73</v>
      </c>
      <c r="N242" t="s">
        <v>1549</v>
      </c>
      <c r="O242" t="s">
        <v>64</v>
      </c>
      <c r="P242" t="s">
        <v>405</v>
      </c>
      <c r="Q242" t="s">
        <v>1550</v>
      </c>
      <c r="R242" t="s">
        <v>1551</v>
      </c>
      <c r="S242">
        <v>7</v>
      </c>
      <c r="T242" s="2">
        <v>0.4</v>
      </c>
      <c r="U242" t="s">
        <v>1552</v>
      </c>
      <c r="V242" t="str">
        <f>CHOOSE(MOD(SalesData[[#This Row],[Row ID]]-1,8)+1,"Aarav Sharma","Ananya Singh","Rohan Verma","Priya Gupta","Arjun Mehta","Neha Kapoor","Rahul Joshi","Sneha Patel")</f>
        <v>Ananya Singh</v>
      </c>
      <c r="W24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42" s="8">
        <f>IFERROR(VALUE(SUBSTITUTE(SUBSTITUTE(SalesData[[#This Row],[Profit]],"$",""),",",""))/VALUE(SUBSTITUTE(SUBSTITUTE(SalesData[[#This Row],[Sales]],"$",""),",","")),0)</f>
        <v>-5.1390679683182908E-2</v>
      </c>
      <c r="Y242" s="6">
        <f>IFERROR(VALUE(SUBSTITUTE(SUBSTITUTE(SalesData[[#This Row],[Sales]],"$",""),",",""))/SalesData[[#This Row],[Quantity]],0)</f>
        <v>15.511428571428571</v>
      </c>
      <c r="Z242">
        <f>YEAR(SalesData[[#This Row],[Order Date]])</f>
        <v>2023</v>
      </c>
      <c r="AA242" t="str">
        <f>TEXT(SalesData[[#This Row],[Order Date]],"mmm")</f>
        <v>Mar</v>
      </c>
      <c r="AB24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43" spans="1:28">
      <c r="A243">
        <v>301</v>
      </c>
      <c r="B243" t="s">
        <v>1553</v>
      </c>
      <c r="C243" s="1">
        <v>45008</v>
      </c>
      <c r="D243" s="1">
        <v>45012</v>
      </c>
      <c r="E243" t="s">
        <v>36</v>
      </c>
      <c r="F243" t="s">
        <v>1554</v>
      </c>
      <c r="G243" t="s">
        <v>1555</v>
      </c>
      <c r="H243" t="s">
        <v>25</v>
      </c>
      <c r="I243" t="s">
        <v>26</v>
      </c>
      <c r="J243" t="s">
        <v>229</v>
      </c>
      <c r="K243" t="s">
        <v>229</v>
      </c>
      <c r="L243">
        <v>53254</v>
      </c>
      <c r="M243" t="s">
        <v>73</v>
      </c>
      <c r="N243" t="s">
        <v>1556</v>
      </c>
      <c r="O243" t="s">
        <v>43</v>
      </c>
      <c r="P243" t="s">
        <v>214</v>
      </c>
      <c r="Q243" t="s">
        <v>1557</v>
      </c>
      <c r="R243" t="s">
        <v>1558</v>
      </c>
      <c r="S243">
        <v>6</v>
      </c>
      <c r="T243" s="2">
        <v>0.1</v>
      </c>
      <c r="U243" t="s">
        <v>1559</v>
      </c>
      <c r="V243" t="str">
        <f>CHOOSE(MOD(SalesData[[#This Row],[Row ID]]-1,8)+1,"Aarav Sharma","Ananya Singh","Rohan Verma","Priya Gupta","Arjun Mehta","Neha Kapoor","Rahul Joshi","Sneha Patel")</f>
        <v>Arjun Mehta</v>
      </c>
      <c r="W24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43" s="8">
        <f>IFERROR(VALUE(SUBSTITUTE(SUBSTITUTE(SalesData[[#This Row],[Profit]],"$",""),",",""))/VALUE(SUBSTITUTE(SUBSTITUTE(SalesData[[#This Row],[Sales]],"$",""),",","")),0)</f>
        <v>0.15998987939613729</v>
      </c>
      <c r="Y243" s="6">
        <f>IFERROR(VALUE(SUBSTITUTE(SUBSTITUTE(SalesData[[#This Row],[Sales]],"$",""),",",""))/SalesData[[#This Row],[Quantity]],0)</f>
        <v>19.761666666666667</v>
      </c>
      <c r="Z243">
        <f>YEAR(SalesData[[#This Row],[Order Date]])</f>
        <v>2023</v>
      </c>
      <c r="AA243" t="str">
        <f>TEXT(SalesData[[#This Row],[Order Date]],"mmm")</f>
        <v>Mar</v>
      </c>
      <c r="AB24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44" spans="1:28">
      <c r="A244">
        <v>427</v>
      </c>
      <c r="B244" t="s">
        <v>1560</v>
      </c>
      <c r="C244" s="1">
        <v>45009</v>
      </c>
      <c r="D244" s="1">
        <v>45013</v>
      </c>
      <c r="E244" t="s">
        <v>36</v>
      </c>
      <c r="F244" t="s">
        <v>1561</v>
      </c>
      <c r="G244" t="s">
        <v>794</v>
      </c>
      <c r="H244" t="s">
        <v>25</v>
      </c>
      <c r="I244" t="s">
        <v>26</v>
      </c>
      <c r="J244" t="s">
        <v>301</v>
      </c>
      <c r="K244" t="s">
        <v>301</v>
      </c>
      <c r="L244">
        <v>47909</v>
      </c>
      <c r="M244" t="s">
        <v>73</v>
      </c>
      <c r="N244" t="s">
        <v>1562</v>
      </c>
      <c r="O244" t="s">
        <v>43</v>
      </c>
      <c r="P244" t="s">
        <v>128</v>
      </c>
      <c r="Q244" t="s">
        <v>1563</v>
      </c>
      <c r="R244" t="s">
        <v>1564</v>
      </c>
      <c r="S244">
        <v>7</v>
      </c>
      <c r="T244" s="2">
        <v>0</v>
      </c>
      <c r="U244" t="s">
        <v>1565</v>
      </c>
      <c r="V244" t="str">
        <f>CHOOSE(MOD(SalesData[[#This Row],[Row ID]]-1,8)+1,"Aarav Sharma","Ananya Singh","Rohan Verma","Priya Gupta","Arjun Mehta","Neha Kapoor","Rahul Joshi","Sneha Patel")</f>
        <v>Rohan Verma</v>
      </c>
      <c r="W24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44" s="8">
        <f>IFERROR(VALUE(SUBSTITUTE(SUBSTITUTE(SalesData[[#This Row],[Profit]],"$",""),",",""))/VALUE(SUBSTITUTE(SUBSTITUTE(SalesData[[#This Row],[Sales]],"$",""),",","")),0)</f>
        <v>0.21827619177707966</v>
      </c>
      <c r="Y244" s="6">
        <f>IFERROR(VALUE(SUBSTITUTE(SUBSTITUTE(SalesData[[#This Row],[Sales]],"$",""),",",""))/SalesData[[#This Row],[Quantity]],0)</f>
        <v>10.458571428571428</v>
      </c>
      <c r="Z244">
        <f>YEAR(SalesData[[#This Row],[Order Date]])</f>
        <v>2023</v>
      </c>
      <c r="AA244" t="str">
        <f>TEXT(SalesData[[#This Row],[Order Date]],"mmm")</f>
        <v>Mar</v>
      </c>
      <c r="AB24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45" spans="1:28">
      <c r="A245">
        <v>181</v>
      </c>
      <c r="B245" t="s">
        <v>1566</v>
      </c>
      <c r="C245" s="1">
        <v>45011</v>
      </c>
      <c r="D245" s="1">
        <v>45017</v>
      </c>
      <c r="E245" t="s">
        <v>36</v>
      </c>
      <c r="F245" t="s">
        <v>1567</v>
      </c>
      <c r="G245" t="s">
        <v>757</v>
      </c>
      <c r="H245" t="s">
        <v>39</v>
      </c>
      <c r="I245" t="s">
        <v>26</v>
      </c>
      <c r="J245" t="s">
        <v>438</v>
      </c>
      <c r="K245" t="s">
        <v>438</v>
      </c>
      <c r="L245">
        <v>87960</v>
      </c>
      <c r="M245" t="s">
        <v>28</v>
      </c>
      <c r="N245" t="s">
        <v>720</v>
      </c>
      <c r="O245" t="s">
        <v>30</v>
      </c>
      <c r="P245" t="s">
        <v>120</v>
      </c>
      <c r="Q245" t="s">
        <v>759</v>
      </c>
      <c r="R245" t="s">
        <v>1568</v>
      </c>
      <c r="S245">
        <v>1</v>
      </c>
      <c r="T245" s="2">
        <v>0.05</v>
      </c>
      <c r="U245" t="s">
        <v>1569</v>
      </c>
      <c r="V245" t="str">
        <f>CHOOSE(MOD(SalesData[[#This Row],[Row ID]]-1,8)+1,"Aarav Sharma","Ananya Singh","Rohan Verma","Priya Gupta","Arjun Mehta","Neha Kapoor","Rahul Joshi","Sneha Patel")</f>
        <v>Arjun Mehta</v>
      </c>
      <c r="W24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45" s="8">
        <f>IFERROR(VALUE(SUBSTITUTE(SUBSTITUTE(SalesData[[#This Row],[Profit]],"$",""),",",""))/VALUE(SUBSTITUTE(SUBSTITUTE(SalesData[[#This Row],[Sales]],"$",""),",","")),0)</f>
        <v>0.18427401256732495</v>
      </c>
      <c r="Y245" s="6">
        <f>IFERROR(VALUE(SUBSTITUTE(SUBSTITUTE(SalesData[[#This Row],[Sales]],"$",""),",",""))/SalesData[[#This Row],[Quantity]],0)</f>
        <v>356.48</v>
      </c>
      <c r="Z245">
        <f>YEAR(SalesData[[#This Row],[Order Date]])</f>
        <v>2023</v>
      </c>
      <c r="AA245" t="str">
        <f>TEXT(SalesData[[#This Row],[Order Date]],"mmm")</f>
        <v>Mar</v>
      </c>
      <c r="AB24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46" spans="1:28">
      <c r="A246">
        <v>382</v>
      </c>
      <c r="B246" t="s">
        <v>1570</v>
      </c>
      <c r="C246" s="1">
        <v>45016</v>
      </c>
      <c r="D246" s="1">
        <v>45018</v>
      </c>
      <c r="E246" t="s">
        <v>36</v>
      </c>
      <c r="F246" t="s">
        <v>1571</v>
      </c>
      <c r="G246" t="s">
        <v>1572</v>
      </c>
      <c r="H246" t="s">
        <v>25</v>
      </c>
      <c r="I246" t="s">
        <v>26</v>
      </c>
      <c r="J246" t="s">
        <v>173</v>
      </c>
      <c r="K246" t="s">
        <v>173</v>
      </c>
      <c r="L246">
        <v>25791</v>
      </c>
      <c r="M246" t="s">
        <v>73</v>
      </c>
      <c r="N246" t="s">
        <v>595</v>
      </c>
      <c r="O246" t="s">
        <v>43</v>
      </c>
      <c r="P246" t="s">
        <v>214</v>
      </c>
      <c r="Q246" t="s">
        <v>1573</v>
      </c>
      <c r="R246" t="s">
        <v>1574</v>
      </c>
      <c r="S246">
        <v>2</v>
      </c>
      <c r="T246" s="2">
        <v>0.3</v>
      </c>
      <c r="U246" t="s">
        <v>1575</v>
      </c>
      <c r="V246" t="str">
        <f>CHOOSE(MOD(SalesData[[#This Row],[Row ID]]-1,8)+1,"Aarav Sharma","Ananya Singh","Rohan Verma","Priya Gupta","Arjun Mehta","Neha Kapoor","Rahul Joshi","Sneha Patel")</f>
        <v>Neha Kapoor</v>
      </c>
      <c r="W24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46" s="8">
        <f>IFERROR(VALUE(SUBSTITUTE(SUBSTITUTE(SalesData[[#This Row],[Profit]],"$",""),",",""))/VALUE(SUBSTITUTE(SUBSTITUTE(SalesData[[#This Row],[Sales]],"$",""),",","")),0)</f>
        <v>6.7650676506765071E-3</v>
      </c>
      <c r="Y246" s="6">
        <f>IFERROR(VALUE(SUBSTITUTE(SUBSTITUTE(SalesData[[#This Row],[Sales]],"$",""),",",""))/SalesData[[#This Row],[Quantity]],0)</f>
        <v>48.78</v>
      </c>
      <c r="Z246">
        <f>YEAR(SalesData[[#This Row],[Order Date]])</f>
        <v>2023</v>
      </c>
      <c r="AA246" t="str">
        <f>TEXT(SalesData[[#This Row],[Order Date]],"mmm")</f>
        <v>Mar</v>
      </c>
      <c r="AB24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47" spans="1:28">
      <c r="A247">
        <v>483</v>
      </c>
      <c r="B247" t="s">
        <v>1576</v>
      </c>
      <c r="C247" s="1">
        <v>45017</v>
      </c>
      <c r="D247" s="1">
        <v>45020</v>
      </c>
      <c r="E247" t="s">
        <v>49</v>
      </c>
      <c r="F247" t="s">
        <v>1577</v>
      </c>
      <c r="G247" t="s">
        <v>876</v>
      </c>
      <c r="H247" t="s">
        <v>25</v>
      </c>
      <c r="I247" t="s">
        <v>26</v>
      </c>
      <c r="J247" t="s">
        <v>204</v>
      </c>
      <c r="K247" t="s">
        <v>204</v>
      </c>
      <c r="L247">
        <v>26911</v>
      </c>
      <c r="M247" t="s">
        <v>28</v>
      </c>
      <c r="N247" t="s">
        <v>1578</v>
      </c>
      <c r="O247" t="s">
        <v>64</v>
      </c>
      <c r="P247" t="s">
        <v>65</v>
      </c>
      <c r="Q247" t="s">
        <v>543</v>
      </c>
      <c r="R247" t="s">
        <v>1579</v>
      </c>
      <c r="S247">
        <v>2</v>
      </c>
      <c r="T247" s="2">
        <v>0.15</v>
      </c>
      <c r="U247" t="s">
        <v>1580</v>
      </c>
      <c r="V247" t="str">
        <f>CHOOSE(MOD(SalesData[[#This Row],[Row ID]]-1,8)+1,"Aarav Sharma","Ananya Singh","Rohan Verma","Priya Gupta","Arjun Mehta","Neha Kapoor","Rahul Joshi","Sneha Patel")</f>
        <v>Rohan Verma</v>
      </c>
      <c r="W24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47" s="8">
        <f>IFERROR(VALUE(SUBSTITUTE(SUBSTITUTE(SalesData[[#This Row],[Profit]],"$",""),",",""))/VALUE(SUBSTITUTE(SUBSTITUTE(SalesData[[#This Row],[Sales]],"$",""),",","")),0)</f>
        <v>0.1798341989612465</v>
      </c>
      <c r="Y247" s="6">
        <f>IFERROR(VALUE(SUBSTITUTE(SUBSTITUTE(SalesData[[#This Row],[Sales]],"$",""),",",""))/SalesData[[#This Row],[Quantity]],0)</f>
        <v>100.12</v>
      </c>
      <c r="Z247">
        <f>YEAR(SalesData[[#This Row],[Order Date]])</f>
        <v>2023</v>
      </c>
      <c r="AA247" t="str">
        <f>TEXT(SalesData[[#This Row],[Order Date]],"mmm")</f>
        <v>Apr</v>
      </c>
      <c r="AB24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48" spans="1:28">
      <c r="A248">
        <v>500</v>
      </c>
      <c r="B248" t="s">
        <v>1581</v>
      </c>
      <c r="C248" s="1">
        <v>45017</v>
      </c>
      <c r="D248" s="1">
        <v>45020</v>
      </c>
      <c r="E248" t="s">
        <v>36</v>
      </c>
      <c r="F248" t="s">
        <v>1582</v>
      </c>
      <c r="G248" t="s">
        <v>1259</v>
      </c>
      <c r="H248" t="s">
        <v>60</v>
      </c>
      <c r="I248" t="s">
        <v>26</v>
      </c>
      <c r="J248" t="s">
        <v>260</v>
      </c>
      <c r="K248" t="s">
        <v>260</v>
      </c>
      <c r="L248">
        <v>38164</v>
      </c>
      <c r="M248" t="s">
        <v>41</v>
      </c>
      <c r="N248" t="s">
        <v>1583</v>
      </c>
      <c r="O248" t="s">
        <v>43</v>
      </c>
      <c r="P248" t="s">
        <v>214</v>
      </c>
      <c r="Q248" t="s">
        <v>1584</v>
      </c>
      <c r="R248" t="s">
        <v>1585</v>
      </c>
      <c r="S248">
        <v>5</v>
      </c>
      <c r="T248" s="2">
        <v>0.3</v>
      </c>
      <c r="U248" t="s">
        <v>1586</v>
      </c>
      <c r="V248" t="str">
        <f>CHOOSE(MOD(SalesData[[#This Row],[Row ID]]-1,8)+1,"Aarav Sharma","Ananya Singh","Rohan Verma","Priya Gupta","Arjun Mehta","Neha Kapoor","Rahul Joshi","Sneha Patel")</f>
        <v>Priya Gupta</v>
      </c>
      <c r="W24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48" s="8">
        <f>IFERROR(VALUE(SUBSTITUTE(SUBSTITUTE(SalesData[[#This Row],[Profit]],"$",""),",",""))/VALUE(SUBSTITUTE(SUBSTITUTE(SalesData[[#This Row],[Sales]],"$",""),",","")),0)</f>
        <v>-4.4690603514132919E-2</v>
      </c>
      <c r="Y248" s="6">
        <f>IFERROR(VALUE(SUBSTITUTE(SUBSTITUTE(SalesData[[#This Row],[Sales]],"$",""),",",""))/SalesData[[#This Row],[Quantity]],0)</f>
        <v>15.708000000000002</v>
      </c>
      <c r="Z248">
        <f>YEAR(SalesData[[#This Row],[Order Date]])</f>
        <v>2023</v>
      </c>
      <c r="AA248" t="str">
        <f>TEXT(SalesData[[#This Row],[Order Date]],"mmm")</f>
        <v>Apr</v>
      </c>
      <c r="AB24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49" spans="1:28">
      <c r="A249">
        <v>363</v>
      </c>
      <c r="B249" t="s">
        <v>1587</v>
      </c>
      <c r="C249" s="1">
        <v>45017</v>
      </c>
      <c r="D249" s="1">
        <v>45019</v>
      </c>
      <c r="E249" t="s">
        <v>22</v>
      </c>
      <c r="F249" t="s">
        <v>1588</v>
      </c>
      <c r="G249" t="s">
        <v>1110</v>
      </c>
      <c r="H249" t="s">
        <v>25</v>
      </c>
      <c r="I249" t="s">
        <v>26</v>
      </c>
      <c r="J249" t="s">
        <v>150</v>
      </c>
      <c r="K249" t="s">
        <v>150</v>
      </c>
      <c r="L249">
        <v>70686</v>
      </c>
      <c r="M249" t="s">
        <v>73</v>
      </c>
      <c r="N249" t="s">
        <v>1414</v>
      </c>
      <c r="O249" t="s">
        <v>43</v>
      </c>
      <c r="P249" t="s">
        <v>189</v>
      </c>
      <c r="Q249" t="s">
        <v>1589</v>
      </c>
      <c r="R249" t="s">
        <v>1590</v>
      </c>
      <c r="S249">
        <v>4</v>
      </c>
      <c r="T249" s="2">
        <v>0.15</v>
      </c>
      <c r="U249" t="s">
        <v>1591</v>
      </c>
      <c r="V249" t="str">
        <f>CHOOSE(MOD(SalesData[[#This Row],[Row ID]]-1,8)+1,"Aarav Sharma","Ananya Singh","Rohan Verma","Priya Gupta","Arjun Mehta","Neha Kapoor","Rahul Joshi","Sneha Patel")</f>
        <v>Rohan Verma</v>
      </c>
      <c r="W24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49" s="8">
        <f>IFERROR(VALUE(SUBSTITUTE(SUBSTITUTE(SalesData[[#This Row],[Profit]],"$",""),",",""))/VALUE(SUBSTITUTE(SUBSTITUTE(SalesData[[#This Row],[Sales]],"$",""),",","")),0)</f>
        <v>0.20565100393293315</v>
      </c>
      <c r="Y249" s="6">
        <f>IFERROR(VALUE(SUBSTITUTE(SUBSTITUTE(SalesData[[#This Row],[Sales]],"$",""),",",""))/SalesData[[#This Row],[Quantity]],0)</f>
        <v>24.155000000000001</v>
      </c>
      <c r="Z249">
        <f>YEAR(SalesData[[#This Row],[Order Date]])</f>
        <v>2023</v>
      </c>
      <c r="AA249" t="str">
        <f>TEXT(SalesData[[#This Row],[Order Date]],"mmm")</f>
        <v>Apr</v>
      </c>
      <c r="AB24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50" spans="1:28">
      <c r="A250">
        <v>277</v>
      </c>
      <c r="B250" t="s">
        <v>1592</v>
      </c>
      <c r="C250" s="1">
        <v>45018</v>
      </c>
      <c r="D250" s="1">
        <v>45020</v>
      </c>
      <c r="E250" t="s">
        <v>36</v>
      </c>
      <c r="F250" t="s">
        <v>1593</v>
      </c>
      <c r="G250" t="s">
        <v>1219</v>
      </c>
      <c r="H250" t="s">
        <v>25</v>
      </c>
      <c r="I250" t="s">
        <v>26</v>
      </c>
      <c r="J250" t="s">
        <v>96</v>
      </c>
      <c r="K250" t="s">
        <v>96</v>
      </c>
      <c r="L250">
        <v>62774</v>
      </c>
      <c r="M250" t="s">
        <v>28</v>
      </c>
      <c r="N250" t="s">
        <v>1032</v>
      </c>
      <c r="O250" t="s">
        <v>43</v>
      </c>
      <c r="P250" t="s">
        <v>166</v>
      </c>
      <c r="Q250" t="s">
        <v>1594</v>
      </c>
      <c r="R250" t="s">
        <v>1595</v>
      </c>
      <c r="S250">
        <v>6</v>
      </c>
      <c r="T250" s="2">
        <v>0</v>
      </c>
      <c r="U250" t="s">
        <v>1596</v>
      </c>
      <c r="V250" t="str">
        <f>CHOOSE(MOD(SalesData[[#This Row],[Row ID]]-1,8)+1,"Aarav Sharma","Ananya Singh","Rohan Verma","Priya Gupta","Arjun Mehta","Neha Kapoor","Rahul Joshi","Sneha Patel")</f>
        <v>Arjun Mehta</v>
      </c>
      <c r="W25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50" s="8">
        <f>IFERROR(VALUE(SUBSTITUTE(SUBSTITUTE(SalesData[[#This Row],[Profit]],"$",""),",",""))/VALUE(SUBSTITUTE(SUBSTITUTE(SalesData[[#This Row],[Sales]],"$",""),",","")),0)</f>
        <v>0.26269956458635702</v>
      </c>
      <c r="Y250" s="6">
        <f>IFERROR(VALUE(SUBSTITUTE(SUBSTITUTE(SalesData[[#This Row],[Sales]],"$",""),",",""))/SalesData[[#This Row],[Quantity]],0)</f>
        <v>5.7416666666666671</v>
      </c>
      <c r="Z250">
        <f>YEAR(SalesData[[#This Row],[Order Date]])</f>
        <v>2023</v>
      </c>
      <c r="AA250" t="str">
        <f>TEXT(SalesData[[#This Row],[Order Date]],"mmm")</f>
        <v>Apr</v>
      </c>
      <c r="AB25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51" spans="1:28">
      <c r="A251">
        <v>578</v>
      </c>
      <c r="B251" t="s">
        <v>1597</v>
      </c>
      <c r="C251" s="1">
        <v>45021</v>
      </c>
      <c r="D251" s="1">
        <v>45025</v>
      </c>
      <c r="E251" t="s">
        <v>36</v>
      </c>
      <c r="F251" t="s">
        <v>1598</v>
      </c>
      <c r="G251" t="s">
        <v>1479</v>
      </c>
      <c r="H251" t="s">
        <v>25</v>
      </c>
      <c r="I251" t="s">
        <v>26</v>
      </c>
      <c r="J251" t="s">
        <v>301</v>
      </c>
      <c r="K251" t="s">
        <v>301</v>
      </c>
      <c r="L251">
        <v>47132</v>
      </c>
      <c r="M251" t="s">
        <v>73</v>
      </c>
      <c r="N251" t="s">
        <v>1202</v>
      </c>
      <c r="O251" t="s">
        <v>64</v>
      </c>
      <c r="P251" t="s">
        <v>136</v>
      </c>
      <c r="Q251" t="s">
        <v>1046</v>
      </c>
      <c r="R251" t="s">
        <v>1599</v>
      </c>
      <c r="S251">
        <v>5</v>
      </c>
      <c r="T251" s="2">
        <v>0.15</v>
      </c>
      <c r="U251" t="s">
        <v>1600</v>
      </c>
      <c r="V251" t="str">
        <f>CHOOSE(MOD(SalesData[[#This Row],[Row ID]]-1,8)+1,"Aarav Sharma","Ananya Singh","Rohan Verma","Priya Gupta","Arjun Mehta","Neha Kapoor","Rahul Joshi","Sneha Patel")</f>
        <v>Ananya Singh</v>
      </c>
      <c r="W25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51" s="8">
        <f>IFERROR(VALUE(SUBSTITUTE(SUBSTITUTE(SalesData[[#This Row],[Profit]],"$",""),",",""))/VALUE(SUBSTITUTE(SUBSTITUTE(SalesData[[#This Row],[Sales]],"$",""),",","")),0)</f>
        <v>0.1430157332618765</v>
      </c>
      <c r="Y251" s="6">
        <f>IFERROR(VALUE(SUBSTITUTE(SUBSTITUTE(SalesData[[#This Row],[Sales]],"$",""),",",""))/SalesData[[#This Row],[Quantity]],0)</f>
        <v>52.246000000000002</v>
      </c>
      <c r="Z251">
        <f>YEAR(SalesData[[#This Row],[Order Date]])</f>
        <v>2023</v>
      </c>
      <c r="AA251" t="str">
        <f>TEXT(SalesData[[#This Row],[Order Date]],"mmm")</f>
        <v>Apr</v>
      </c>
      <c r="AB25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52" spans="1:28">
      <c r="A252">
        <v>2</v>
      </c>
      <c r="B252" t="s">
        <v>1601</v>
      </c>
      <c r="C252" s="1">
        <v>45021</v>
      </c>
      <c r="D252" s="1">
        <v>45024</v>
      </c>
      <c r="E252" t="s">
        <v>36</v>
      </c>
      <c r="F252" t="s">
        <v>1602</v>
      </c>
      <c r="G252" t="s">
        <v>252</v>
      </c>
      <c r="H252" t="s">
        <v>39</v>
      </c>
      <c r="I252" t="s">
        <v>26</v>
      </c>
      <c r="J252" t="s">
        <v>301</v>
      </c>
      <c r="K252" t="s">
        <v>301</v>
      </c>
      <c r="L252">
        <v>51606</v>
      </c>
      <c r="M252" t="s">
        <v>73</v>
      </c>
      <c r="N252" t="s">
        <v>1603</v>
      </c>
      <c r="O252" t="s">
        <v>43</v>
      </c>
      <c r="P252" t="s">
        <v>214</v>
      </c>
      <c r="Q252" t="s">
        <v>1604</v>
      </c>
      <c r="R252" t="s">
        <v>1605</v>
      </c>
      <c r="S252">
        <v>4</v>
      </c>
      <c r="T252" s="2">
        <v>0.2</v>
      </c>
      <c r="U252" t="s">
        <v>1606</v>
      </c>
      <c r="V252" t="str">
        <f>CHOOSE(MOD(SalesData[[#This Row],[Row ID]]-1,8)+1,"Aarav Sharma","Ananya Singh","Rohan Verma","Priya Gupta","Arjun Mehta","Neha Kapoor","Rahul Joshi","Sneha Patel")</f>
        <v>Ananya Singh</v>
      </c>
      <c r="W25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52" s="8">
        <f>IFERROR(VALUE(SUBSTITUTE(SUBSTITUTE(SalesData[[#This Row],[Profit]],"$",""),",",""))/VALUE(SUBSTITUTE(SUBSTITUTE(SalesData[[#This Row],[Sales]],"$",""),",","")),0)</f>
        <v>6.0479525862068971E-2</v>
      </c>
      <c r="Y252" s="6">
        <f>IFERROR(VALUE(SUBSTITUTE(SUBSTITUTE(SalesData[[#This Row],[Sales]],"$",""),",",""))/SalesData[[#This Row],[Quantity]],0)</f>
        <v>18.559999999999999</v>
      </c>
      <c r="Z252">
        <f>YEAR(SalesData[[#This Row],[Order Date]])</f>
        <v>2023</v>
      </c>
      <c r="AA252" t="str">
        <f>TEXT(SalesData[[#This Row],[Order Date]],"mmm")</f>
        <v>Apr</v>
      </c>
      <c r="AB25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53" spans="1:28">
      <c r="A253">
        <v>562</v>
      </c>
      <c r="B253" t="s">
        <v>1607</v>
      </c>
      <c r="C253" s="1">
        <v>45021</v>
      </c>
      <c r="D253" s="1">
        <v>45024</v>
      </c>
      <c r="E253" t="s">
        <v>36</v>
      </c>
      <c r="F253" t="s">
        <v>1608</v>
      </c>
      <c r="G253" t="s">
        <v>1259</v>
      </c>
      <c r="H253" t="s">
        <v>25</v>
      </c>
      <c r="I253" t="s">
        <v>26</v>
      </c>
      <c r="J253" t="s">
        <v>204</v>
      </c>
      <c r="K253" t="s">
        <v>204</v>
      </c>
      <c r="L253">
        <v>89782</v>
      </c>
      <c r="M253" t="s">
        <v>28</v>
      </c>
      <c r="N253" t="s">
        <v>1609</v>
      </c>
      <c r="O253" t="s">
        <v>64</v>
      </c>
      <c r="P253" t="s">
        <v>65</v>
      </c>
      <c r="Q253" t="s">
        <v>1610</v>
      </c>
      <c r="R253" t="s">
        <v>1611</v>
      </c>
      <c r="S253">
        <v>4</v>
      </c>
      <c r="T253" s="2">
        <v>0.4</v>
      </c>
      <c r="U253" t="s">
        <v>1612</v>
      </c>
      <c r="V253" t="str">
        <f>CHOOSE(MOD(SalesData[[#This Row],[Row ID]]-1,8)+1,"Aarav Sharma","Ananya Singh","Rohan Verma","Priya Gupta","Arjun Mehta","Neha Kapoor","Rahul Joshi","Sneha Patel")</f>
        <v>Ananya Singh</v>
      </c>
      <c r="W25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53" s="8">
        <f>IFERROR(VALUE(SUBSTITUTE(SUBSTITUTE(SalesData[[#This Row],[Profit]],"$",""),",",""))/VALUE(SUBSTITUTE(SUBSTITUTE(SalesData[[#This Row],[Sales]],"$",""),",","")),0)</f>
        <v>-6.845753899480069E-3</v>
      </c>
      <c r="Y253" s="6">
        <f>IFERROR(VALUE(SUBSTITUTE(SUBSTITUTE(SalesData[[#This Row],[Sales]],"$",""),",",""))/SalesData[[#This Row],[Quantity]],0)</f>
        <v>28.85</v>
      </c>
      <c r="Z253">
        <f>YEAR(SalesData[[#This Row],[Order Date]])</f>
        <v>2023</v>
      </c>
      <c r="AA253" t="str">
        <f>TEXT(SalesData[[#This Row],[Order Date]],"mmm")</f>
        <v>Apr</v>
      </c>
      <c r="AB25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54" spans="1:28">
      <c r="A254">
        <v>412</v>
      </c>
      <c r="B254" t="s">
        <v>1613</v>
      </c>
      <c r="C254" s="1">
        <v>45024</v>
      </c>
      <c r="D254" s="1">
        <v>45025</v>
      </c>
      <c r="E254" t="s">
        <v>49</v>
      </c>
      <c r="F254" t="s">
        <v>1614</v>
      </c>
      <c r="G254" t="s">
        <v>731</v>
      </c>
      <c r="H254" t="s">
        <v>25</v>
      </c>
      <c r="I254" t="s">
        <v>26</v>
      </c>
      <c r="J254" t="s">
        <v>157</v>
      </c>
      <c r="K254" t="s">
        <v>157</v>
      </c>
      <c r="L254">
        <v>48744</v>
      </c>
      <c r="M254" t="s">
        <v>62</v>
      </c>
      <c r="N254" t="s">
        <v>1615</v>
      </c>
      <c r="O254" t="s">
        <v>43</v>
      </c>
      <c r="P254" t="s">
        <v>214</v>
      </c>
      <c r="Q254" t="s">
        <v>1584</v>
      </c>
      <c r="R254" t="s">
        <v>1616</v>
      </c>
      <c r="S254">
        <v>7</v>
      </c>
      <c r="T254" s="2">
        <v>0.2</v>
      </c>
      <c r="U254" t="s">
        <v>1617</v>
      </c>
      <c r="V254" t="str">
        <f>CHOOSE(MOD(SalesData[[#This Row],[Row ID]]-1,8)+1,"Aarav Sharma","Ananya Singh","Rohan Verma","Priya Gupta","Arjun Mehta","Neha Kapoor","Rahul Joshi","Sneha Patel")</f>
        <v>Priya Gupta</v>
      </c>
      <c r="W25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54" s="8">
        <f>IFERROR(VALUE(SUBSTITUTE(SUBSTITUTE(SalesData[[#This Row],[Profit]],"$",""),",",""))/VALUE(SUBSTITUTE(SUBSTITUTE(SalesData[[#This Row],[Sales]],"$",""),",","")),0)</f>
        <v>9.5488656948158362E-2</v>
      </c>
      <c r="Y254" s="6">
        <f>IFERROR(VALUE(SUBSTITUTE(SUBSTITUTE(SalesData[[#This Row],[Sales]],"$",""),",",""))/SalesData[[#This Row],[Quantity]],0)</f>
        <v>16.561428571428571</v>
      </c>
      <c r="Z254">
        <f>YEAR(SalesData[[#This Row],[Order Date]])</f>
        <v>2023</v>
      </c>
      <c r="AA254" t="str">
        <f>TEXT(SalesData[[#This Row],[Order Date]],"mmm")</f>
        <v>Apr</v>
      </c>
      <c r="AB25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55" spans="1:28">
      <c r="A255">
        <v>482</v>
      </c>
      <c r="B255" t="s">
        <v>1618</v>
      </c>
      <c r="C255" s="1">
        <v>45028</v>
      </c>
      <c r="D255" s="1">
        <v>45031</v>
      </c>
      <c r="E255" t="s">
        <v>382</v>
      </c>
      <c r="F255" t="s">
        <v>1619</v>
      </c>
      <c r="G255" t="s">
        <v>719</v>
      </c>
      <c r="H255" t="s">
        <v>25</v>
      </c>
      <c r="I255" t="s">
        <v>26</v>
      </c>
      <c r="J255" t="s">
        <v>96</v>
      </c>
      <c r="K255" t="s">
        <v>96</v>
      </c>
      <c r="L255">
        <v>90992</v>
      </c>
      <c r="M255" t="s">
        <v>28</v>
      </c>
      <c r="N255" t="s">
        <v>1620</v>
      </c>
      <c r="O255" t="s">
        <v>30</v>
      </c>
      <c r="P255" t="s">
        <v>197</v>
      </c>
      <c r="Q255" t="s">
        <v>834</v>
      </c>
      <c r="R255" t="s">
        <v>1621</v>
      </c>
      <c r="S255">
        <v>4</v>
      </c>
      <c r="T255" s="2">
        <v>0.3</v>
      </c>
      <c r="U255" t="s">
        <v>1622</v>
      </c>
      <c r="V255" t="str">
        <f>CHOOSE(MOD(SalesData[[#This Row],[Row ID]]-1,8)+1,"Aarav Sharma","Ananya Singh","Rohan Verma","Priya Gupta","Arjun Mehta","Neha Kapoor","Rahul Joshi","Sneha Patel")</f>
        <v>Ananya Singh</v>
      </c>
      <c r="W25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55" s="8">
        <f>IFERROR(VALUE(SUBSTITUTE(SUBSTITUTE(SalesData[[#This Row],[Profit]],"$",""),",",""))/VALUE(SUBSTITUTE(SUBSTITUTE(SalesData[[#This Row],[Sales]],"$",""),",","")),0)</f>
        <v>-3.4164358264081256E-2</v>
      </c>
      <c r="Y255" s="6">
        <f>IFERROR(VALUE(SUBSTITUTE(SUBSTITUTE(SalesData[[#This Row],[Sales]],"$",""),",",""))/SalesData[[#This Row],[Quantity]],0)</f>
        <v>51.442500000000003</v>
      </c>
      <c r="Z255">
        <f>YEAR(SalesData[[#This Row],[Order Date]])</f>
        <v>2023</v>
      </c>
      <c r="AA255" t="str">
        <f>TEXT(SalesData[[#This Row],[Order Date]],"mmm")</f>
        <v>Apr</v>
      </c>
      <c r="AB25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56" spans="1:28">
      <c r="A256">
        <v>501</v>
      </c>
      <c r="B256" t="s">
        <v>1623</v>
      </c>
      <c r="C256" s="1">
        <v>45028</v>
      </c>
      <c r="D256" s="1">
        <v>45032</v>
      </c>
      <c r="E256" t="s">
        <v>49</v>
      </c>
      <c r="F256" t="s">
        <v>1624</v>
      </c>
      <c r="G256" t="s">
        <v>1625</v>
      </c>
      <c r="H256" t="s">
        <v>60</v>
      </c>
      <c r="I256" t="s">
        <v>26</v>
      </c>
      <c r="J256" t="s">
        <v>641</v>
      </c>
      <c r="K256" t="s">
        <v>641</v>
      </c>
      <c r="L256">
        <v>65186</v>
      </c>
      <c r="M256" t="s">
        <v>62</v>
      </c>
      <c r="N256" t="s">
        <v>678</v>
      </c>
      <c r="O256" t="s">
        <v>64</v>
      </c>
      <c r="P256" t="s">
        <v>65</v>
      </c>
      <c r="Q256" t="s">
        <v>275</v>
      </c>
      <c r="R256" t="s">
        <v>1626</v>
      </c>
      <c r="S256">
        <v>6</v>
      </c>
      <c r="T256" s="2">
        <v>0.15</v>
      </c>
      <c r="U256" t="s">
        <v>1627</v>
      </c>
      <c r="V256" t="str">
        <f>CHOOSE(MOD(SalesData[[#This Row],[Row ID]]-1,8)+1,"Aarav Sharma","Ananya Singh","Rohan Verma","Priya Gupta","Arjun Mehta","Neha Kapoor","Rahul Joshi","Sneha Patel")</f>
        <v>Arjun Mehta</v>
      </c>
      <c r="W25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56" s="8">
        <f>IFERROR(VALUE(SUBSTITUTE(SUBSTITUTE(SalesData[[#This Row],[Profit]],"$",""),",",""))/VALUE(SUBSTITUTE(SUBSTITUTE(SalesData[[#This Row],[Sales]],"$",""),",","")),0)</f>
        <v>0.20323133188278319</v>
      </c>
      <c r="Y256" s="6">
        <f>IFERROR(VALUE(SUBSTITUTE(SUBSTITUTE(SalesData[[#This Row],[Sales]],"$",""),",",""))/SalesData[[#This Row],[Quantity]],0)</f>
        <v>36.001666666666665</v>
      </c>
      <c r="Z256">
        <f>YEAR(SalesData[[#This Row],[Order Date]])</f>
        <v>2023</v>
      </c>
      <c r="AA256" t="str">
        <f>TEXT(SalesData[[#This Row],[Order Date]],"mmm")</f>
        <v>Apr</v>
      </c>
      <c r="AB25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57" spans="1:28">
      <c r="A257">
        <v>207</v>
      </c>
      <c r="B257" t="s">
        <v>1628</v>
      </c>
      <c r="C257" s="1">
        <v>45032</v>
      </c>
      <c r="D257" s="1">
        <v>45035</v>
      </c>
      <c r="E257" t="s">
        <v>36</v>
      </c>
      <c r="F257" t="s">
        <v>1629</v>
      </c>
      <c r="G257" t="s">
        <v>418</v>
      </c>
      <c r="H257" t="s">
        <v>25</v>
      </c>
      <c r="I257" t="s">
        <v>26</v>
      </c>
      <c r="J257" t="s">
        <v>363</v>
      </c>
      <c r="K257" t="s">
        <v>363</v>
      </c>
      <c r="L257">
        <v>74925</v>
      </c>
      <c r="M257" t="s">
        <v>62</v>
      </c>
      <c r="N257" t="s">
        <v>1630</v>
      </c>
      <c r="O257" t="s">
        <v>43</v>
      </c>
      <c r="P257" t="s">
        <v>189</v>
      </c>
      <c r="Q257" t="s">
        <v>1631</v>
      </c>
      <c r="R257" t="s">
        <v>1632</v>
      </c>
      <c r="S257">
        <v>4</v>
      </c>
      <c r="T257" s="2">
        <v>0.05</v>
      </c>
      <c r="U257" t="s">
        <v>1633</v>
      </c>
      <c r="V257" t="str">
        <f>CHOOSE(MOD(SalesData[[#This Row],[Row ID]]-1,8)+1,"Aarav Sharma","Ananya Singh","Rohan Verma","Priya Gupta","Arjun Mehta","Neha Kapoor","Rahul Joshi","Sneha Patel")</f>
        <v>Rahul Joshi</v>
      </c>
      <c r="W25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57" s="8">
        <f>IFERROR(VALUE(SUBSTITUTE(SUBSTITUTE(SalesData[[#This Row],[Profit]],"$",""),",",""))/VALUE(SUBSTITUTE(SUBSTITUTE(SalesData[[#This Row],[Sales]],"$",""),",","")),0)</f>
        <v>0.20255677306653963</v>
      </c>
      <c r="Y257" s="6">
        <f>IFERROR(VALUE(SUBSTITUTE(SUBSTITUTE(SalesData[[#This Row],[Sales]],"$",""),",",""))/SalesData[[#This Row],[Quantity]],0)</f>
        <v>31.484999999999999</v>
      </c>
      <c r="Z257">
        <f>YEAR(SalesData[[#This Row],[Order Date]])</f>
        <v>2023</v>
      </c>
      <c r="AA257" t="str">
        <f>TEXT(SalesData[[#This Row],[Order Date]],"mmm")</f>
        <v>Apr</v>
      </c>
      <c r="AB25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58" spans="1:28">
      <c r="A258">
        <v>324</v>
      </c>
      <c r="B258" t="s">
        <v>1634</v>
      </c>
      <c r="C258" s="1">
        <v>45033</v>
      </c>
      <c r="D258" s="1">
        <v>45037</v>
      </c>
      <c r="E258" t="s">
        <v>36</v>
      </c>
      <c r="F258" t="s">
        <v>1635</v>
      </c>
      <c r="G258" t="s">
        <v>492</v>
      </c>
      <c r="H258" t="s">
        <v>39</v>
      </c>
      <c r="I258" t="s">
        <v>26</v>
      </c>
      <c r="J258" t="s">
        <v>245</v>
      </c>
      <c r="K258" t="s">
        <v>245</v>
      </c>
      <c r="L258">
        <v>40825</v>
      </c>
      <c r="M258" t="s">
        <v>41</v>
      </c>
      <c r="N258" t="s">
        <v>1636</v>
      </c>
      <c r="O258" t="s">
        <v>64</v>
      </c>
      <c r="P258" t="s">
        <v>136</v>
      </c>
      <c r="Q258" t="s">
        <v>1637</v>
      </c>
      <c r="R258" t="s">
        <v>1638</v>
      </c>
      <c r="S258">
        <v>2</v>
      </c>
      <c r="T258" s="2">
        <v>0</v>
      </c>
      <c r="U258" t="s">
        <v>1639</v>
      </c>
      <c r="V258" t="str">
        <f>CHOOSE(MOD(SalesData[[#This Row],[Row ID]]-1,8)+1,"Aarav Sharma","Ananya Singh","Rohan Verma","Priya Gupta","Arjun Mehta","Neha Kapoor","Rahul Joshi","Sneha Patel")</f>
        <v>Priya Gupta</v>
      </c>
      <c r="W25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58" s="8">
        <f>IFERROR(VALUE(SUBSTITUTE(SUBSTITUTE(SalesData[[#This Row],[Profit]],"$",""),",",""))/VALUE(SUBSTITUTE(SUBSTITUTE(SalesData[[#This Row],[Sales]],"$",""),",","")),0)</f>
        <v>0.28115015974440893</v>
      </c>
      <c r="Y258" s="6">
        <f>IFERROR(VALUE(SUBSTITUTE(SUBSTITUTE(SalesData[[#This Row],[Sales]],"$",""),",",""))/SalesData[[#This Row],[Quantity]],0)</f>
        <v>17.215</v>
      </c>
      <c r="Z258">
        <f>YEAR(SalesData[[#This Row],[Order Date]])</f>
        <v>2023</v>
      </c>
      <c r="AA258" t="str">
        <f>TEXT(SalesData[[#This Row],[Order Date]],"mmm")</f>
        <v>Apr</v>
      </c>
      <c r="AB25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59" spans="1:28">
      <c r="A259">
        <v>568</v>
      </c>
      <c r="B259" t="s">
        <v>1640</v>
      </c>
      <c r="C259" s="1">
        <v>45039</v>
      </c>
      <c r="D259" s="1">
        <v>45040</v>
      </c>
      <c r="E259" t="s">
        <v>36</v>
      </c>
      <c r="F259" t="s">
        <v>654</v>
      </c>
      <c r="G259" t="s">
        <v>478</v>
      </c>
      <c r="H259" t="s">
        <v>25</v>
      </c>
      <c r="I259" t="s">
        <v>26</v>
      </c>
      <c r="J259" t="s">
        <v>61</v>
      </c>
      <c r="K259" t="s">
        <v>61</v>
      </c>
      <c r="L259">
        <v>81725</v>
      </c>
      <c r="M259" t="s">
        <v>62</v>
      </c>
      <c r="N259" t="s">
        <v>1641</v>
      </c>
      <c r="O259" t="s">
        <v>30</v>
      </c>
      <c r="P259" t="s">
        <v>197</v>
      </c>
      <c r="Q259" t="s">
        <v>846</v>
      </c>
      <c r="R259" t="s">
        <v>1642</v>
      </c>
      <c r="S259">
        <v>2</v>
      </c>
      <c r="T259" s="2">
        <v>0.4</v>
      </c>
      <c r="U259" t="s">
        <v>1643</v>
      </c>
      <c r="V259" t="str">
        <f>CHOOSE(MOD(SalesData[[#This Row],[Row ID]]-1,8)+1,"Aarav Sharma","Ananya Singh","Rohan Verma","Priya Gupta","Arjun Mehta","Neha Kapoor","Rahul Joshi","Sneha Patel")</f>
        <v>Sneha Patel</v>
      </c>
      <c r="W25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59" s="8">
        <f>IFERROR(VALUE(SUBSTITUTE(SUBSTITUTE(SalesData[[#This Row],[Profit]],"$",""),",",""))/VALUE(SUBSTITUTE(SUBSTITUTE(SalesData[[#This Row],[Sales]],"$",""),",","")),0)</f>
        <v>-0.14657882271885631</v>
      </c>
      <c r="Y259" s="6">
        <f>IFERROR(VALUE(SUBSTITUTE(SUBSTITUTE(SalesData[[#This Row],[Sales]],"$",""),",",""))/SalesData[[#This Row],[Quantity]],0)</f>
        <v>232.23</v>
      </c>
      <c r="Z259">
        <f>YEAR(SalesData[[#This Row],[Order Date]])</f>
        <v>2023</v>
      </c>
      <c r="AA259" t="str">
        <f>TEXT(SalesData[[#This Row],[Order Date]],"mmm")</f>
        <v>Apr</v>
      </c>
      <c r="AB25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60" spans="1:28">
      <c r="A260">
        <v>342</v>
      </c>
      <c r="B260" t="s">
        <v>1644</v>
      </c>
      <c r="C260" s="1">
        <v>45040</v>
      </c>
      <c r="D260" s="1">
        <v>45043</v>
      </c>
      <c r="E260" t="s">
        <v>36</v>
      </c>
      <c r="F260" t="s">
        <v>1645</v>
      </c>
      <c r="G260" t="s">
        <v>203</v>
      </c>
      <c r="H260" t="s">
        <v>39</v>
      </c>
      <c r="I260" t="s">
        <v>26</v>
      </c>
      <c r="J260" t="s">
        <v>438</v>
      </c>
      <c r="K260" t="s">
        <v>438</v>
      </c>
      <c r="L260">
        <v>64144</v>
      </c>
      <c r="M260" t="s">
        <v>28</v>
      </c>
      <c r="N260" t="s">
        <v>1646</v>
      </c>
      <c r="O260" t="s">
        <v>43</v>
      </c>
      <c r="P260" t="s">
        <v>166</v>
      </c>
      <c r="Q260" t="s">
        <v>1647</v>
      </c>
      <c r="R260" t="s">
        <v>1648</v>
      </c>
      <c r="S260">
        <v>3</v>
      </c>
      <c r="T260" s="2">
        <v>0.15</v>
      </c>
      <c r="U260" t="s">
        <v>1649</v>
      </c>
      <c r="V260" t="str">
        <f>CHOOSE(MOD(SalesData[[#This Row],[Row ID]]-1,8)+1,"Aarav Sharma","Ananya Singh","Rohan Verma","Priya Gupta","Arjun Mehta","Neha Kapoor","Rahul Joshi","Sneha Patel")</f>
        <v>Neha Kapoor</v>
      </c>
      <c r="W26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60" s="8">
        <f>IFERROR(VALUE(SUBSTITUTE(SUBSTITUTE(SalesData[[#This Row],[Profit]],"$",""),",",""))/VALUE(SUBSTITUTE(SUBSTITUTE(SalesData[[#This Row],[Sales]],"$",""),",","")),0)</f>
        <v>-4.9571879224876081E-3</v>
      </c>
      <c r="Y260" s="6">
        <f>IFERROR(VALUE(SUBSTITUTE(SUBSTITUTE(SalesData[[#This Row],[Sales]],"$",""),",",""))/SalesData[[#This Row],[Quantity]],0)</f>
        <v>22.189999999999998</v>
      </c>
      <c r="Z260">
        <f>YEAR(SalesData[[#This Row],[Order Date]])</f>
        <v>2023</v>
      </c>
      <c r="AA260" t="str">
        <f>TEXT(SalesData[[#This Row],[Order Date]],"mmm")</f>
        <v>Apr</v>
      </c>
      <c r="AB26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61" spans="1:28">
      <c r="A261">
        <v>145</v>
      </c>
      <c r="B261" t="s">
        <v>1650</v>
      </c>
      <c r="C261" s="1">
        <v>45043</v>
      </c>
      <c r="D261" s="1">
        <v>45048</v>
      </c>
      <c r="E261" t="s">
        <v>36</v>
      </c>
      <c r="F261" t="s">
        <v>1651</v>
      </c>
      <c r="G261" t="s">
        <v>1025</v>
      </c>
      <c r="H261" t="s">
        <v>25</v>
      </c>
      <c r="I261" t="s">
        <v>26</v>
      </c>
      <c r="J261" t="s">
        <v>301</v>
      </c>
      <c r="K261" t="s">
        <v>301</v>
      </c>
      <c r="L261">
        <v>71944</v>
      </c>
      <c r="M261" t="s">
        <v>73</v>
      </c>
      <c r="N261" t="s">
        <v>1652</v>
      </c>
      <c r="O261" t="s">
        <v>30</v>
      </c>
      <c r="P261" t="s">
        <v>222</v>
      </c>
      <c r="Q261" t="s">
        <v>818</v>
      </c>
      <c r="R261" t="s">
        <v>1653</v>
      </c>
      <c r="S261">
        <v>7</v>
      </c>
      <c r="T261" s="2">
        <v>0.2</v>
      </c>
      <c r="U261" t="s">
        <v>1654</v>
      </c>
      <c r="V261" t="str">
        <f>CHOOSE(MOD(SalesData[[#This Row],[Row ID]]-1,8)+1,"Aarav Sharma","Ananya Singh","Rohan Verma","Priya Gupta","Arjun Mehta","Neha Kapoor","Rahul Joshi","Sneha Patel")</f>
        <v>Aarav Sharma</v>
      </c>
      <c r="W26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61" s="8">
        <f>IFERROR(VALUE(SUBSTITUTE(SUBSTITUTE(SalesData[[#This Row],[Profit]],"$",""),",",""))/VALUE(SUBSTITUTE(SUBSTITUTE(SalesData[[#This Row],[Sales]],"$",""),",","")),0)</f>
        <v>2.8827007321630977E-2</v>
      </c>
      <c r="Y261" s="6">
        <f>IFERROR(VALUE(SUBSTITUTE(SUBSTITUTE(SalesData[[#This Row],[Sales]],"$",""),",",""))/SalesData[[#This Row],[Quantity]],0)</f>
        <v>46.632857142857141</v>
      </c>
      <c r="Z261">
        <f>YEAR(SalesData[[#This Row],[Order Date]])</f>
        <v>2023</v>
      </c>
      <c r="AA261" t="str">
        <f>TEXT(SalesData[[#This Row],[Order Date]],"mmm")</f>
        <v>Apr</v>
      </c>
      <c r="AB26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62" spans="1:28">
      <c r="A262">
        <v>109</v>
      </c>
      <c r="B262" t="s">
        <v>1655</v>
      </c>
      <c r="C262" s="1">
        <v>45043</v>
      </c>
      <c r="D262" s="1">
        <v>45044</v>
      </c>
      <c r="E262" t="s">
        <v>49</v>
      </c>
      <c r="F262" t="s">
        <v>1656</v>
      </c>
      <c r="G262" t="s">
        <v>1657</v>
      </c>
      <c r="H262" t="s">
        <v>25</v>
      </c>
      <c r="I262" t="s">
        <v>26</v>
      </c>
      <c r="J262" t="s">
        <v>641</v>
      </c>
      <c r="K262" t="s">
        <v>641</v>
      </c>
      <c r="L262">
        <v>87866</v>
      </c>
      <c r="M262" t="s">
        <v>62</v>
      </c>
      <c r="N262" t="s">
        <v>63</v>
      </c>
      <c r="O262" t="s">
        <v>43</v>
      </c>
      <c r="P262" t="s">
        <v>83</v>
      </c>
      <c r="Q262" t="s">
        <v>1658</v>
      </c>
      <c r="R262" t="s">
        <v>1659</v>
      </c>
      <c r="S262">
        <v>4</v>
      </c>
      <c r="T262" s="2">
        <v>0.3</v>
      </c>
      <c r="U262" t="s">
        <v>1660</v>
      </c>
      <c r="V262" t="str">
        <f>CHOOSE(MOD(SalesData[[#This Row],[Row ID]]-1,8)+1,"Aarav Sharma","Ananya Singh","Rohan Verma","Priya Gupta","Arjun Mehta","Neha Kapoor","Rahul Joshi","Sneha Patel")</f>
        <v>Arjun Mehta</v>
      </c>
      <c r="W26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62" s="8">
        <f>IFERROR(VALUE(SUBSTITUTE(SUBSTITUTE(SalesData[[#This Row],[Profit]],"$",""),",",""))/VALUE(SUBSTITUTE(SUBSTITUTE(SalesData[[#This Row],[Sales]],"$",""),",","")),0)</f>
        <v>-7.8840054372451299E-2</v>
      </c>
      <c r="Y262" s="6">
        <f>IFERROR(VALUE(SUBSTITUTE(SUBSTITUTE(SalesData[[#This Row],[Sales]],"$",""),",",""))/SalesData[[#This Row],[Quantity]],0)</f>
        <v>16.552499999999998</v>
      </c>
      <c r="Z262">
        <f>YEAR(SalesData[[#This Row],[Order Date]])</f>
        <v>2023</v>
      </c>
      <c r="AA262" t="str">
        <f>TEXT(SalesData[[#This Row],[Order Date]],"mmm")</f>
        <v>Apr</v>
      </c>
      <c r="AB26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63" spans="1:28">
      <c r="A263">
        <v>158</v>
      </c>
      <c r="B263" t="s">
        <v>1661</v>
      </c>
      <c r="C263" s="1">
        <v>45044</v>
      </c>
      <c r="D263" s="1">
        <v>45046</v>
      </c>
      <c r="E263" t="s">
        <v>49</v>
      </c>
      <c r="F263" t="s">
        <v>1662</v>
      </c>
      <c r="G263" t="s">
        <v>707</v>
      </c>
      <c r="H263" t="s">
        <v>39</v>
      </c>
      <c r="I263" t="s">
        <v>26</v>
      </c>
      <c r="J263" t="s">
        <v>81</v>
      </c>
      <c r="K263" t="s">
        <v>81</v>
      </c>
      <c r="L263">
        <v>90388</v>
      </c>
      <c r="M263" t="s">
        <v>62</v>
      </c>
      <c r="N263" t="s">
        <v>1663</v>
      </c>
      <c r="O263" t="s">
        <v>43</v>
      </c>
      <c r="P263" t="s">
        <v>166</v>
      </c>
      <c r="Q263" t="s">
        <v>392</v>
      </c>
      <c r="R263" t="s">
        <v>1664</v>
      </c>
      <c r="S263">
        <v>1</v>
      </c>
      <c r="T263" s="2">
        <v>0.3</v>
      </c>
      <c r="U263" t="s">
        <v>1665</v>
      </c>
      <c r="V263" t="str">
        <f>CHOOSE(MOD(SalesData[[#This Row],[Row ID]]-1,8)+1,"Aarav Sharma","Ananya Singh","Rohan Verma","Priya Gupta","Arjun Mehta","Neha Kapoor","Rahul Joshi","Sneha Patel")</f>
        <v>Neha Kapoor</v>
      </c>
      <c r="W26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63" s="8">
        <f>IFERROR(VALUE(SUBSTITUTE(SUBSTITUTE(SalesData[[#This Row],[Profit]],"$",""),",",""))/VALUE(SUBSTITUTE(SUBSTITUTE(SalesData[[#This Row],[Sales]],"$",""),",","")),0)</f>
        <v>8.731221181020378E-2</v>
      </c>
      <c r="Y263" s="6">
        <f>IFERROR(VALUE(SUBSTITUTE(SUBSTITUTE(SalesData[[#This Row],[Sales]],"$",""),",",""))/SalesData[[#This Row],[Quantity]],0)</f>
        <v>67.23</v>
      </c>
      <c r="Z263">
        <f>YEAR(SalesData[[#This Row],[Order Date]])</f>
        <v>2023</v>
      </c>
      <c r="AA263" t="str">
        <f>TEXT(SalesData[[#This Row],[Order Date]],"mmm")</f>
        <v>Apr</v>
      </c>
      <c r="AB26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64" spans="1:28">
      <c r="A264">
        <v>215</v>
      </c>
      <c r="B264" t="s">
        <v>1666</v>
      </c>
      <c r="C264" s="1">
        <v>45046</v>
      </c>
      <c r="D264" s="1">
        <v>45048</v>
      </c>
      <c r="E264" t="s">
        <v>36</v>
      </c>
      <c r="F264" t="s">
        <v>1667</v>
      </c>
      <c r="G264" t="s">
        <v>1253</v>
      </c>
      <c r="H264" t="s">
        <v>39</v>
      </c>
      <c r="I264" t="s">
        <v>26</v>
      </c>
      <c r="J264" t="s">
        <v>212</v>
      </c>
      <c r="K264" t="s">
        <v>212</v>
      </c>
      <c r="L264">
        <v>66233</v>
      </c>
      <c r="M264" t="s">
        <v>28</v>
      </c>
      <c r="N264" t="s">
        <v>1515</v>
      </c>
      <c r="O264" t="s">
        <v>64</v>
      </c>
      <c r="P264" t="s">
        <v>405</v>
      </c>
      <c r="Q264" t="s">
        <v>1668</v>
      </c>
      <c r="R264" t="s">
        <v>1669</v>
      </c>
      <c r="S264">
        <v>7</v>
      </c>
      <c r="T264" s="2">
        <v>0.2</v>
      </c>
      <c r="U264" t="s">
        <v>1670</v>
      </c>
      <c r="V264" t="str">
        <f>CHOOSE(MOD(SalesData[[#This Row],[Row ID]]-1,8)+1,"Aarav Sharma","Ananya Singh","Rohan Verma","Priya Gupta","Arjun Mehta","Neha Kapoor","Rahul Joshi","Sneha Patel")</f>
        <v>Rahul Joshi</v>
      </c>
      <c r="W26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64" s="8">
        <f>IFERROR(VALUE(SUBSTITUTE(SUBSTITUTE(SalesData[[#This Row],[Profit]],"$",""),",",""))/VALUE(SUBSTITUTE(SUBSTITUTE(SalesData[[#This Row],[Sales]],"$",""),",","")),0)</f>
        <v>0.18110487538899381</v>
      </c>
      <c r="Y264" s="6">
        <f>IFERROR(VALUE(SUBSTITUTE(SUBSTITUTE(SalesData[[#This Row],[Sales]],"$",""),",",""))/SalesData[[#This Row],[Quantity]],0)</f>
        <v>53.71</v>
      </c>
      <c r="Z264">
        <f>YEAR(SalesData[[#This Row],[Order Date]])</f>
        <v>2023</v>
      </c>
      <c r="AA264" t="str">
        <f>TEXT(SalesData[[#This Row],[Order Date]],"mmm")</f>
        <v>Apr</v>
      </c>
      <c r="AB26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65" spans="1:28">
      <c r="A265">
        <v>233</v>
      </c>
      <c r="B265" t="s">
        <v>1671</v>
      </c>
      <c r="C265" s="1">
        <v>45047</v>
      </c>
      <c r="D265" s="1">
        <v>45049</v>
      </c>
      <c r="E265" t="s">
        <v>36</v>
      </c>
      <c r="F265" t="s">
        <v>457</v>
      </c>
      <c r="G265" t="s">
        <v>882</v>
      </c>
      <c r="H265" t="s">
        <v>60</v>
      </c>
      <c r="I265" t="s">
        <v>26</v>
      </c>
      <c r="J265" t="s">
        <v>204</v>
      </c>
      <c r="K265" t="s">
        <v>204</v>
      </c>
      <c r="L265">
        <v>19018</v>
      </c>
      <c r="M265" t="s">
        <v>28</v>
      </c>
      <c r="N265" t="s">
        <v>1077</v>
      </c>
      <c r="O265" t="s">
        <v>30</v>
      </c>
      <c r="P265" t="s">
        <v>197</v>
      </c>
      <c r="Q265" t="s">
        <v>806</v>
      </c>
      <c r="R265" t="s">
        <v>1672</v>
      </c>
      <c r="S265">
        <v>5</v>
      </c>
      <c r="T265" s="2">
        <v>0.15</v>
      </c>
      <c r="U265" t="s">
        <v>1673</v>
      </c>
      <c r="V265" t="str">
        <f>CHOOSE(MOD(SalesData[[#This Row],[Row ID]]-1,8)+1,"Aarav Sharma","Ananya Singh","Rohan Verma","Priya Gupta","Arjun Mehta","Neha Kapoor","Rahul Joshi","Sneha Patel")</f>
        <v>Aarav Sharma</v>
      </c>
      <c r="W26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65" s="8">
        <f>IFERROR(VALUE(SUBSTITUTE(SUBSTITUTE(SalesData[[#This Row],[Profit]],"$",""),",",""))/VALUE(SUBSTITUTE(SUBSTITUTE(SalesData[[#This Row],[Sales]],"$",""),",","")),0)</f>
        <v>-4.9485137782965767E-2</v>
      </c>
      <c r="Y265" s="6">
        <f>IFERROR(VALUE(SUBSTITUTE(SUBSTITUTE(SalesData[[#This Row],[Sales]],"$",""),",",""))/SalesData[[#This Row],[Quantity]],0)</f>
        <v>47.974000000000004</v>
      </c>
      <c r="Z265">
        <f>YEAR(SalesData[[#This Row],[Order Date]])</f>
        <v>2023</v>
      </c>
      <c r="AA265" t="str">
        <f>TEXT(SalesData[[#This Row],[Order Date]],"mmm")</f>
        <v>May</v>
      </c>
      <c r="AB26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66" spans="1:28">
      <c r="A266">
        <v>320</v>
      </c>
      <c r="B266" t="s">
        <v>1674</v>
      </c>
      <c r="C266" s="1">
        <v>45048</v>
      </c>
      <c r="D266" s="1">
        <v>45051</v>
      </c>
      <c r="E266" t="s">
        <v>36</v>
      </c>
      <c r="F266" t="s">
        <v>1675</v>
      </c>
      <c r="G266" t="s">
        <v>336</v>
      </c>
      <c r="H266" t="s">
        <v>25</v>
      </c>
      <c r="I266" t="s">
        <v>26</v>
      </c>
      <c r="J266" t="s">
        <v>438</v>
      </c>
      <c r="K266" t="s">
        <v>438</v>
      </c>
      <c r="L266">
        <v>59549</v>
      </c>
      <c r="M266" t="s">
        <v>28</v>
      </c>
      <c r="N266" t="s">
        <v>1676</v>
      </c>
      <c r="O266" t="s">
        <v>43</v>
      </c>
      <c r="P266" t="s">
        <v>214</v>
      </c>
      <c r="Q266" t="s">
        <v>893</v>
      </c>
      <c r="R266" t="s">
        <v>176</v>
      </c>
      <c r="S266">
        <v>5</v>
      </c>
      <c r="T266" s="2">
        <v>0.1</v>
      </c>
      <c r="U266" t="s">
        <v>1677</v>
      </c>
      <c r="V266" t="str">
        <f>CHOOSE(MOD(SalesData[[#This Row],[Row ID]]-1,8)+1,"Aarav Sharma","Ananya Singh","Rohan Verma","Priya Gupta","Arjun Mehta","Neha Kapoor","Rahul Joshi","Sneha Patel")</f>
        <v>Sneha Patel</v>
      </c>
      <c r="W26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66" s="8">
        <f>IFERROR(VALUE(SUBSTITUTE(SUBSTITUTE(SalesData[[#This Row],[Profit]],"$",""),",",""))/VALUE(SUBSTITUTE(SUBSTITUTE(SalesData[[#This Row],[Sales]],"$",""),",","")),0)</f>
        <v>0.14344128230291134</v>
      </c>
      <c r="Y266" s="6">
        <f>IFERROR(VALUE(SUBSTITUTE(SUBSTITUTE(SalesData[[#This Row],[Sales]],"$",""),",",""))/SalesData[[#This Row],[Quantity]],0)</f>
        <v>12.228</v>
      </c>
      <c r="Z266">
        <f>YEAR(SalesData[[#This Row],[Order Date]])</f>
        <v>2023</v>
      </c>
      <c r="AA266" t="str">
        <f>TEXT(SalesData[[#This Row],[Order Date]],"mmm")</f>
        <v>May</v>
      </c>
      <c r="AB26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67" spans="1:28">
      <c r="A267">
        <v>486</v>
      </c>
      <c r="B267" t="s">
        <v>1678</v>
      </c>
      <c r="C267" s="1">
        <v>45051</v>
      </c>
      <c r="D267" s="1">
        <v>45057</v>
      </c>
      <c r="E267" t="s">
        <v>49</v>
      </c>
      <c r="F267" t="s">
        <v>1679</v>
      </c>
      <c r="G267" t="s">
        <v>700</v>
      </c>
      <c r="H267" t="s">
        <v>60</v>
      </c>
      <c r="I267" t="s">
        <v>26</v>
      </c>
      <c r="J267" t="s">
        <v>72</v>
      </c>
      <c r="K267" t="s">
        <v>72</v>
      </c>
      <c r="L267">
        <v>94821</v>
      </c>
      <c r="M267" t="s">
        <v>73</v>
      </c>
      <c r="N267" t="s">
        <v>684</v>
      </c>
      <c r="O267" t="s">
        <v>64</v>
      </c>
      <c r="P267" t="s">
        <v>136</v>
      </c>
      <c r="Q267" t="s">
        <v>1680</v>
      </c>
      <c r="R267" t="s">
        <v>1681</v>
      </c>
      <c r="S267">
        <v>1</v>
      </c>
      <c r="T267" s="2">
        <v>0.2</v>
      </c>
      <c r="U267" t="s">
        <v>1682</v>
      </c>
      <c r="V267" t="str">
        <f>CHOOSE(MOD(SalesData[[#This Row],[Row ID]]-1,8)+1,"Aarav Sharma","Ananya Singh","Rohan Verma","Priya Gupta","Arjun Mehta","Neha Kapoor","Rahul Joshi","Sneha Patel")</f>
        <v>Neha Kapoor</v>
      </c>
      <c r="W26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67" s="8">
        <f>IFERROR(VALUE(SUBSTITUTE(SUBSTITUTE(SalesData[[#This Row],[Profit]],"$",""),",",""))/VALUE(SUBSTITUTE(SUBSTITUTE(SalesData[[#This Row],[Sales]],"$",""),",","")),0)</f>
        <v>0.26996402877697839</v>
      </c>
      <c r="Y267" s="6">
        <f>IFERROR(VALUE(SUBSTITUTE(SUBSTITUTE(SalesData[[#This Row],[Sales]],"$",""),",",""))/SalesData[[#This Row],[Quantity]],0)</f>
        <v>222.4</v>
      </c>
      <c r="Z267">
        <f>YEAR(SalesData[[#This Row],[Order Date]])</f>
        <v>2023</v>
      </c>
      <c r="AA267" t="str">
        <f>TEXT(SalesData[[#This Row],[Order Date]],"mmm")</f>
        <v>May</v>
      </c>
      <c r="AB26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68" spans="1:28">
      <c r="A268">
        <v>378</v>
      </c>
      <c r="B268" t="s">
        <v>1683</v>
      </c>
      <c r="C268" s="1">
        <v>45052</v>
      </c>
      <c r="D268" s="1">
        <v>45056</v>
      </c>
      <c r="E268" t="s">
        <v>382</v>
      </c>
      <c r="F268" t="s">
        <v>1684</v>
      </c>
      <c r="G268" t="s">
        <v>1685</v>
      </c>
      <c r="H268" t="s">
        <v>25</v>
      </c>
      <c r="I268" t="s">
        <v>26</v>
      </c>
      <c r="J268" t="s">
        <v>27</v>
      </c>
      <c r="K268" t="s">
        <v>27</v>
      </c>
      <c r="L268">
        <v>50927</v>
      </c>
      <c r="M268" t="s">
        <v>28</v>
      </c>
      <c r="N268" t="s">
        <v>1469</v>
      </c>
      <c r="O268" t="s">
        <v>43</v>
      </c>
      <c r="P268" t="s">
        <v>128</v>
      </c>
      <c r="Q268" t="s">
        <v>615</v>
      </c>
      <c r="R268" t="s">
        <v>1686</v>
      </c>
      <c r="S268">
        <v>3</v>
      </c>
      <c r="T268" s="2">
        <v>0.1</v>
      </c>
      <c r="U268" t="s">
        <v>1687</v>
      </c>
      <c r="V268" t="str">
        <f>CHOOSE(MOD(SalesData[[#This Row],[Row ID]]-1,8)+1,"Aarav Sharma","Ananya Singh","Rohan Verma","Priya Gupta","Arjun Mehta","Neha Kapoor","Rahul Joshi","Sneha Patel")</f>
        <v>Ananya Singh</v>
      </c>
      <c r="W26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68" s="8">
        <f>IFERROR(VALUE(SUBSTITUTE(SUBSTITUTE(SalesData[[#This Row],[Profit]],"$",""),",",""))/VALUE(SUBSTITUTE(SUBSTITUTE(SalesData[[#This Row],[Sales]],"$",""),",","")),0)</f>
        <v>0.11467181467181468</v>
      </c>
      <c r="Y268" s="6">
        <f>IFERROR(VALUE(SUBSTITUTE(SUBSTITUTE(SalesData[[#This Row],[Sales]],"$",""),",",""))/SalesData[[#This Row],[Quantity]],0)</f>
        <v>17.266666666666666</v>
      </c>
      <c r="Z268">
        <f>YEAR(SalesData[[#This Row],[Order Date]])</f>
        <v>2023</v>
      </c>
      <c r="AA268" t="str">
        <f>TEXT(SalesData[[#This Row],[Order Date]],"mmm")</f>
        <v>May</v>
      </c>
      <c r="AB26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69" spans="1:28">
      <c r="A269">
        <v>506</v>
      </c>
      <c r="B269" t="s">
        <v>1688</v>
      </c>
      <c r="C269" s="1">
        <v>45052</v>
      </c>
      <c r="D269" s="1">
        <v>45054</v>
      </c>
      <c r="E269" t="s">
        <v>49</v>
      </c>
      <c r="F269" t="s">
        <v>1689</v>
      </c>
      <c r="G269" t="s">
        <v>1154</v>
      </c>
      <c r="H269" t="s">
        <v>25</v>
      </c>
      <c r="I269" t="s">
        <v>26</v>
      </c>
      <c r="J269" t="s">
        <v>641</v>
      </c>
      <c r="K269" t="s">
        <v>641</v>
      </c>
      <c r="L269">
        <v>96928</v>
      </c>
      <c r="M269" t="s">
        <v>62</v>
      </c>
      <c r="N269" t="s">
        <v>1690</v>
      </c>
      <c r="O269" t="s">
        <v>30</v>
      </c>
      <c r="P269" t="s">
        <v>197</v>
      </c>
      <c r="Q269" t="s">
        <v>198</v>
      </c>
      <c r="R269" t="s">
        <v>1691</v>
      </c>
      <c r="S269">
        <v>3</v>
      </c>
      <c r="T269" s="2">
        <v>0.2</v>
      </c>
      <c r="U269" t="s">
        <v>1692</v>
      </c>
      <c r="V269" t="str">
        <f>CHOOSE(MOD(SalesData[[#This Row],[Row ID]]-1,8)+1,"Aarav Sharma","Ananya Singh","Rohan Verma","Priya Gupta","Arjun Mehta","Neha Kapoor","Rahul Joshi","Sneha Patel")</f>
        <v>Ananya Singh</v>
      </c>
      <c r="W26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69" s="8">
        <f>IFERROR(VALUE(SUBSTITUTE(SUBSTITUTE(SalesData[[#This Row],[Profit]],"$",""),",",""))/VALUE(SUBSTITUTE(SUBSTITUTE(SalesData[[#This Row],[Sales]],"$",""),",","")),0)</f>
        <v>-3.6676336510567759E-2</v>
      </c>
      <c r="Y269" s="6">
        <f>IFERROR(VALUE(SUBSTITUTE(SUBSTITUTE(SalesData[[#This Row],[Sales]],"$",""),",",""))/SalesData[[#This Row],[Quantity]],0)</f>
        <v>16.086666666666666</v>
      </c>
      <c r="Z269">
        <f>YEAR(SalesData[[#This Row],[Order Date]])</f>
        <v>2023</v>
      </c>
      <c r="AA269" t="str">
        <f>TEXT(SalesData[[#This Row],[Order Date]],"mmm")</f>
        <v>May</v>
      </c>
      <c r="AB26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70" spans="1:28">
      <c r="A270">
        <v>361</v>
      </c>
      <c r="B270" t="s">
        <v>1693</v>
      </c>
      <c r="C270" s="1">
        <v>45053</v>
      </c>
      <c r="D270" s="1">
        <v>45056</v>
      </c>
      <c r="E270" t="s">
        <v>49</v>
      </c>
      <c r="F270" t="s">
        <v>1694</v>
      </c>
      <c r="G270" t="s">
        <v>1446</v>
      </c>
      <c r="H270" t="s">
        <v>25</v>
      </c>
      <c r="I270" t="s">
        <v>26</v>
      </c>
      <c r="J270" t="s">
        <v>81</v>
      </c>
      <c r="K270" t="s">
        <v>81</v>
      </c>
      <c r="L270">
        <v>99317</v>
      </c>
      <c r="M270" t="s">
        <v>62</v>
      </c>
      <c r="N270" t="s">
        <v>1695</v>
      </c>
      <c r="O270" t="s">
        <v>30</v>
      </c>
      <c r="P270" t="s">
        <v>197</v>
      </c>
      <c r="Q270" t="s">
        <v>1696</v>
      </c>
      <c r="R270" t="s">
        <v>1697</v>
      </c>
      <c r="S270">
        <v>4</v>
      </c>
      <c r="T270" s="2">
        <v>0.15</v>
      </c>
      <c r="U270" t="s">
        <v>1698</v>
      </c>
      <c r="V270" t="str">
        <f>CHOOSE(MOD(SalesData[[#This Row],[Row ID]]-1,8)+1,"Aarav Sharma","Ananya Singh","Rohan Verma","Priya Gupta","Arjun Mehta","Neha Kapoor","Rahul Joshi","Sneha Patel")</f>
        <v>Aarav Sharma</v>
      </c>
      <c r="W27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70" s="8">
        <f>IFERROR(VALUE(SUBSTITUTE(SUBSTITUTE(SalesData[[#This Row],[Profit]],"$",""),",",""))/VALUE(SUBSTITUTE(SUBSTITUTE(SalesData[[#This Row],[Sales]],"$",""),",","")),0)</f>
        <v>4.6729664628497307E-2</v>
      </c>
      <c r="Y270" s="6">
        <f>IFERROR(VALUE(SUBSTITUTE(SUBSTITUTE(SalesData[[#This Row],[Sales]],"$",""),",",""))/SalesData[[#This Row],[Quantity]],0)</f>
        <v>67.462500000000006</v>
      </c>
      <c r="Z270">
        <f>YEAR(SalesData[[#This Row],[Order Date]])</f>
        <v>2023</v>
      </c>
      <c r="AA270" t="str">
        <f>TEXT(SalesData[[#This Row],[Order Date]],"mmm")</f>
        <v>May</v>
      </c>
      <c r="AB27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71" spans="1:28">
      <c r="A271">
        <v>80</v>
      </c>
      <c r="B271" t="s">
        <v>1699</v>
      </c>
      <c r="C271" s="1">
        <v>45053</v>
      </c>
      <c r="D271" s="1">
        <v>45056</v>
      </c>
      <c r="E271" t="s">
        <v>49</v>
      </c>
      <c r="F271" t="s">
        <v>1700</v>
      </c>
      <c r="G271" t="s">
        <v>640</v>
      </c>
      <c r="H271" t="s">
        <v>60</v>
      </c>
      <c r="I271" t="s">
        <v>26</v>
      </c>
      <c r="J271" t="s">
        <v>96</v>
      </c>
      <c r="K271" t="s">
        <v>96</v>
      </c>
      <c r="L271">
        <v>25251</v>
      </c>
      <c r="M271" t="s">
        <v>28</v>
      </c>
      <c r="N271" t="s">
        <v>1332</v>
      </c>
      <c r="O271" t="s">
        <v>30</v>
      </c>
      <c r="P271" t="s">
        <v>31</v>
      </c>
      <c r="Q271" t="s">
        <v>1701</v>
      </c>
      <c r="R271" t="s">
        <v>1702</v>
      </c>
      <c r="S271">
        <v>4</v>
      </c>
      <c r="T271" s="2">
        <v>0</v>
      </c>
      <c r="U271" t="s">
        <v>1703</v>
      </c>
      <c r="V271" t="str">
        <f>CHOOSE(MOD(SalesData[[#This Row],[Row ID]]-1,8)+1,"Aarav Sharma","Ananya Singh","Rohan Verma","Priya Gupta","Arjun Mehta","Neha Kapoor","Rahul Joshi","Sneha Patel")</f>
        <v>Sneha Patel</v>
      </c>
      <c r="W27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71" s="8">
        <f>IFERROR(VALUE(SUBSTITUTE(SUBSTITUTE(SalesData[[#This Row],[Profit]],"$",""),",",""))/VALUE(SUBSTITUTE(SUBSTITUTE(SalesData[[#This Row],[Sales]],"$",""),",","")),0)</f>
        <v>0.18234174202760592</v>
      </c>
      <c r="Y271" s="6">
        <f>IFERROR(VALUE(SUBSTITUTE(SUBSTITUTE(SalesData[[#This Row],[Sales]],"$",""),",",""))/SalesData[[#This Row],[Quantity]],0)</f>
        <v>52.524999999999999</v>
      </c>
      <c r="Z271">
        <f>YEAR(SalesData[[#This Row],[Order Date]])</f>
        <v>2023</v>
      </c>
      <c r="AA271" t="str">
        <f>TEXT(SalesData[[#This Row],[Order Date]],"mmm")</f>
        <v>May</v>
      </c>
      <c r="AB27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72" spans="1:28">
      <c r="A272">
        <v>95</v>
      </c>
      <c r="B272" t="s">
        <v>1704</v>
      </c>
      <c r="C272" s="1">
        <v>45055</v>
      </c>
      <c r="D272" s="1">
        <v>45060</v>
      </c>
      <c r="E272" t="s">
        <v>36</v>
      </c>
      <c r="F272" t="s">
        <v>1705</v>
      </c>
      <c r="G272" t="s">
        <v>882</v>
      </c>
      <c r="H272" t="s">
        <v>60</v>
      </c>
      <c r="I272" t="s">
        <v>26</v>
      </c>
      <c r="J272" t="s">
        <v>237</v>
      </c>
      <c r="K272" t="s">
        <v>237</v>
      </c>
      <c r="L272">
        <v>19108</v>
      </c>
      <c r="M272" t="s">
        <v>41</v>
      </c>
      <c r="N272" t="s">
        <v>1706</v>
      </c>
      <c r="O272" t="s">
        <v>64</v>
      </c>
      <c r="P272" t="s">
        <v>136</v>
      </c>
      <c r="Q272" t="s">
        <v>1707</v>
      </c>
      <c r="R272" t="s">
        <v>1708</v>
      </c>
      <c r="S272">
        <v>1</v>
      </c>
      <c r="T272" s="2">
        <v>0.1</v>
      </c>
      <c r="U272" t="s">
        <v>1709</v>
      </c>
      <c r="V272" t="str">
        <f>CHOOSE(MOD(SalesData[[#This Row],[Row ID]]-1,8)+1,"Aarav Sharma","Ananya Singh","Rohan Verma","Priya Gupta","Arjun Mehta","Neha Kapoor","Rahul Joshi","Sneha Patel")</f>
        <v>Rahul Joshi</v>
      </c>
      <c r="W27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72" s="8">
        <f>IFERROR(VALUE(SUBSTITUTE(SUBSTITUTE(SalesData[[#This Row],[Profit]],"$",""),",",""))/VALUE(SUBSTITUTE(SUBSTITUTE(SalesData[[#This Row],[Sales]],"$",""),",","")),0)</f>
        <v>0.18563734290843806</v>
      </c>
      <c r="Y272" s="6">
        <f>IFERROR(VALUE(SUBSTITUTE(SUBSTITUTE(SalesData[[#This Row],[Sales]],"$",""),",",""))/SalesData[[#This Row],[Quantity]],0)</f>
        <v>194.95</v>
      </c>
      <c r="Z272">
        <f>YEAR(SalesData[[#This Row],[Order Date]])</f>
        <v>2023</v>
      </c>
      <c r="AA272" t="str">
        <f>TEXT(SalesData[[#This Row],[Order Date]],"mmm")</f>
        <v>May</v>
      </c>
      <c r="AB27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73" spans="1:28">
      <c r="A273">
        <v>419</v>
      </c>
      <c r="B273" t="s">
        <v>1710</v>
      </c>
      <c r="C273" s="1">
        <v>45060</v>
      </c>
      <c r="D273" s="1">
        <v>45063</v>
      </c>
      <c r="E273" t="s">
        <v>36</v>
      </c>
      <c r="F273" t="s">
        <v>1711</v>
      </c>
      <c r="G273" t="s">
        <v>236</v>
      </c>
      <c r="H273" t="s">
        <v>25</v>
      </c>
      <c r="I273" t="s">
        <v>26</v>
      </c>
      <c r="J273" t="s">
        <v>260</v>
      </c>
      <c r="K273" t="s">
        <v>260</v>
      </c>
      <c r="L273">
        <v>22336</v>
      </c>
      <c r="M273" t="s">
        <v>41</v>
      </c>
      <c r="N273" t="s">
        <v>1712</v>
      </c>
      <c r="O273" t="s">
        <v>30</v>
      </c>
      <c r="P273" t="s">
        <v>120</v>
      </c>
      <c r="Q273" t="s">
        <v>1099</v>
      </c>
      <c r="R273" t="s">
        <v>1713</v>
      </c>
      <c r="S273">
        <v>1</v>
      </c>
      <c r="T273" s="2">
        <v>0.1</v>
      </c>
      <c r="U273" t="s">
        <v>1714</v>
      </c>
      <c r="V273" t="str">
        <f>CHOOSE(MOD(SalesData[[#This Row],[Row ID]]-1,8)+1,"Aarav Sharma","Ananya Singh","Rohan Verma","Priya Gupta","Arjun Mehta","Neha Kapoor","Rahul Joshi","Sneha Patel")</f>
        <v>Rohan Verma</v>
      </c>
      <c r="W27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73" s="8">
        <f>IFERROR(VALUE(SUBSTITUTE(SUBSTITUTE(SalesData[[#This Row],[Profit]],"$",""),",",""))/VALUE(SUBSTITUTE(SUBSTITUTE(SalesData[[#This Row],[Sales]],"$",""),",","")),0)</f>
        <v>7.7708306750031889E-2</v>
      </c>
      <c r="Y273" s="6">
        <f>IFERROR(VALUE(SUBSTITUTE(SUBSTITUTE(SalesData[[#This Row],[Sales]],"$",""),",",""))/SalesData[[#This Row],[Quantity]],0)</f>
        <v>156.74</v>
      </c>
      <c r="Z273">
        <f>YEAR(SalesData[[#This Row],[Order Date]])</f>
        <v>2023</v>
      </c>
      <c r="AA273" t="str">
        <f>TEXT(SalesData[[#This Row],[Order Date]],"mmm")</f>
        <v>May</v>
      </c>
      <c r="AB27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74" spans="1:28">
      <c r="A274">
        <v>312</v>
      </c>
      <c r="B274" t="s">
        <v>1715</v>
      </c>
      <c r="C274" s="1">
        <v>45062</v>
      </c>
      <c r="D274" s="1">
        <v>45065</v>
      </c>
      <c r="E274" t="s">
        <v>382</v>
      </c>
      <c r="F274" t="s">
        <v>1716</v>
      </c>
      <c r="G274" t="s">
        <v>511</v>
      </c>
      <c r="H274" t="s">
        <v>25</v>
      </c>
      <c r="I274" t="s">
        <v>26</v>
      </c>
      <c r="J274" t="s">
        <v>237</v>
      </c>
      <c r="K274" t="s">
        <v>237</v>
      </c>
      <c r="L274">
        <v>89737</v>
      </c>
      <c r="M274" t="s">
        <v>41</v>
      </c>
      <c r="N274" t="s">
        <v>1717</v>
      </c>
      <c r="O274" t="s">
        <v>43</v>
      </c>
      <c r="P274" t="s">
        <v>44</v>
      </c>
      <c r="Q274" t="s">
        <v>500</v>
      </c>
      <c r="R274" t="s">
        <v>1718</v>
      </c>
      <c r="S274">
        <v>3</v>
      </c>
      <c r="T274" s="2">
        <v>0.4</v>
      </c>
      <c r="U274" t="s">
        <v>1719</v>
      </c>
      <c r="V274" t="str">
        <f>CHOOSE(MOD(SalesData[[#This Row],[Row ID]]-1,8)+1,"Aarav Sharma","Ananya Singh","Rohan Verma","Priya Gupta","Arjun Mehta","Neha Kapoor","Rahul Joshi","Sneha Patel")</f>
        <v>Sneha Patel</v>
      </c>
      <c r="W27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74" s="8">
        <f>IFERROR(VALUE(SUBSTITUTE(SUBSTITUTE(SalesData[[#This Row],[Profit]],"$",""),",",""))/VALUE(SUBSTITUTE(SUBSTITUTE(SalesData[[#This Row],[Sales]],"$",""),",","")),0)</f>
        <v>-0.10062218408066939</v>
      </c>
      <c r="Y274" s="6">
        <f>IFERROR(VALUE(SUBSTITUTE(SUBSTITUTE(SalesData[[#This Row],[Sales]],"$",""),",",""))/SalesData[[#This Row],[Quantity]],0)</f>
        <v>15.536666666666667</v>
      </c>
      <c r="Z274">
        <f>YEAR(SalesData[[#This Row],[Order Date]])</f>
        <v>2023</v>
      </c>
      <c r="AA274" t="str">
        <f>TEXT(SalesData[[#This Row],[Order Date]],"mmm")</f>
        <v>May</v>
      </c>
      <c r="AB27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75" spans="1:28">
      <c r="A275">
        <v>33</v>
      </c>
      <c r="B275" t="s">
        <v>1720</v>
      </c>
      <c r="C275" s="1">
        <v>45063</v>
      </c>
      <c r="D275" s="1">
        <v>45064</v>
      </c>
      <c r="E275" t="s">
        <v>36</v>
      </c>
      <c r="F275" t="s">
        <v>1721</v>
      </c>
      <c r="G275" t="s">
        <v>1722</v>
      </c>
      <c r="H275" t="s">
        <v>39</v>
      </c>
      <c r="I275" t="s">
        <v>26</v>
      </c>
      <c r="J275" t="s">
        <v>150</v>
      </c>
      <c r="K275" t="s">
        <v>150</v>
      </c>
      <c r="L275">
        <v>68141</v>
      </c>
      <c r="M275" t="s">
        <v>73</v>
      </c>
      <c r="N275" t="s">
        <v>1723</v>
      </c>
      <c r="O275" t="s">
        <v>43</v>
      </c>
      <c r="P275" t="s">
        <v>83</v>
      </c>
      <c r="Q275" t="s">
        <v>1065</v>
      </c>
      <c r="R275" t="s">
        <v>1724</v>
      </c>
      <c r="S275">
        <v>5</v>
      </c>
      <c r="T275" s="2">
        <v>0.4</v>
      </c>
      <c r="U275" t="s">
        <v>1725</v>
      </c>
      <c r="V275" t="str">
        <f>CHOOSE(MOD(SalesData[[#This Row],[Row ID]]-1,8)+1,"Aarav Sharma","Ananya Singh","Rohan Verma","Priya Gupta","Arjun Mehta","Neha Kapoor","Rahul Joshi","Sneha Patel")</f>
        <v>Aarav Sharma</v>
      </c>
      <c r="W27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75" s="8">
        <f>IFERROR(VALUE(SUBSTITUTE(SUBSTITUTE(SalesData[[#This Row],[Profit]],"$",""),",",""))/VALUE(SUBSTITUTE(SUBSTITUTE(SalesData[[#This Row],[Sales]],"$",""),",","")),0)</f>
        <v>2.0833333333333332E-2</v>
      </c>
      <c r="Y275" s="6">
        <f>IFERROR(VALUE(SUBSTITUTE(SUBSTITUTE(SalesData[[#This Row],[Sales]],"$",""),",",""))/SalesData[[#This Row],[Quantity]],0)</f>
        <v>8.2560000000000002</v>
      </c>
      <c r="Z275">
        <f>YEAR(SalesData[[#This Row],[Order Date]])</f>
        <v>2023</v>
      </c>
      <c r="AA275" t="str">
        <f>TEXT(SalesData[[#This Row],[Order Date]],"mmm")</f>
        <v>May</v>
      </c>
      <c r="AB27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76" spans="1:28">
      <c r="A276">
        <v>364</v>
      </c>
      <c r="B276" t="s">
        <v>1726</v>
      </c>
      <c r="C276" s="1">
        <v>45063</v>
      </c>
      <c r="D276" s="1">
        <v>45065</v>
      </c>
      <c r="E276" t="s">
        <v>49</v>
      </c>
      <c r="F276" t="s">
        <v>1727</v>
      </c>
      <c r="G276" t="s">
        <v>1446</v>
      </c>
      <c r="H276" t="s">
        <v>25</v>
      </c>
      <c r="I276" t="s">
        <v>26</v>
      </c>
      <c r="J276" t="s">
        <v>212</v>
      </c>
      <c r="K276" t="s">
        <v>212</v>
      </c>
      <c r="L276">
        <v>27948</v>
      </c>
      <c r="M276" t="s">
        <v>28</v>
      </c>
      <c r="N276" t="s">
        <v>1728</v>
      </c>
      <c r="O276" t="s">
        <v>30</v>
      </c>
      <c r="P276" t="s">
        <v>31</v>
      </c>
      <c r="Q276" t="s">
        <v>1729</v>
      </c>
      <c r="R276" t="s">
        <v>1730</v>
      </c>
      <c r="S276">
        <v>4</v>
      </c>
      <c r="T276" s="2">
        <v>0</v>
      </c>
      <c r="U276" t="s">
        <v>1731</v>
      </c>
      <c r="V276" t="str">
        <f>CHOOSE(MOD(SalesData[[#This Row],[Row ID]]-1,8)+1,"Aarav Sharma","Ananya Singh","Rohan Verma","Priya Gupta","Arjun Mehta","Neha Kapoor","Rahul Joshi","Sneha Patel")</f>
        <v>Priya Gupta</v>
      </c>
      <c r="W27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76" s="8">
        <f>IFERROR(VALUE(SUBSTITUTE(SUBSTITUTE(SalesData[[#This Row],[Profit]],"$",""),",",""))/VALUE(SUBSTITUTE(SUBSTITUTE(SalesData[[#This Row],[Sales]],"$",""),",","")),0)</f>
        <v>7.487417293445682E-2</v>
      </c>
      <c r="Y276" s="6">
        <f>IFERROR(VALUE(SUBSTITUTE(SUBSTITUTE(SalesData[[#This Row],[Sales]],"$",""),",",""))/SalesData[[#This Row],[Quantity]],0)</f>
        <v>88.415000000000006</v>
      </c>
      <c r="Z276">
        <f>YEAR(SalesData[[#This Row],[Order Date]])</f>
        <v>2023</v>
      </c>
      <c r="AA276" t="str">
        <f>TEXT(SalesData[[#This Row],[Order Date]],"mmm")</f>
        <v>May</v>
      </c>
      <c r="AB27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77" spans="1:28">
      <c r="A277">
        <v>351</v>
      </c>
      <c r="B277" t="s">
        <v>1732</v>
      </c>
      <c r="C277" s="1">
        <v>45064</v>
      </c>
      <c r="D277" s="1">
        <v>45067</v>
      </c>
      <c r="E277" t="s">
        <v>36</v>
      </c>
      <c r="F277" t="s">
        <v>1733</v>
      </c>
      <c r="G277" t="s">
        <v>594</v>
      </c>
      <c r="H277" t="s">
        <v>60</v>
      </c>
      <c r="I277" t="s">
        <v>26</v>
      </c>
      <c r="J277" t="s">
        <v>81</v>
      </c>
      <c r="K277" t="s">
        <v>81</v>
      </c>
      <c r="L277">
        <v>21826</v>
      </c>
      <c r="M277" t="s">
        <v>62</v>
      </c>
      <c r="N277" t="s">
        <v>1734</v>
      </c>
      <c r="O277" t="s">
        <v>30</v>
      </c>
      <c r="P277" t="s">
        <v>197</v>
      </c>
      <c r="Q277" t="s">
        <v>806</v>
      </c>
      <c r="R277" t="s">
        <v>1735</v>
      </c>
      <c r="S277">
        <v>6</v>
      </c>
      <c r="T277" s="2">
        <v>0.3</v>
      </c>
      <c r="U277" t="s">
        <v>1736</v>
      </c>
      <c r="V277" t="str">
        <f>CHOOSE(MOD(SalesData[[#This Row],[Row ID]]-1,8)+1,"Aarav Sharma","Ananya Singh","Rohan Verma","Priya Gupta","Arjun Mehta","Neha Kapoor","Rahul Joshi","Sneha Patel")</f>
        <v>Rahul Joshi</v>
      </c>
      <c r="W27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77" s="8">
        <f>IFERROR(VALUE(SUBSTITUTE(SUBSTITUTE(SalesData[[#This Row],[Profit]],"$",""),",",""))/VALUE(SUBSTITUTE(SUBSTITUTE(SalesData[[#This Row],[Sales]],"$",""),",","")),0)</f>
        <v>-0.12741332513955037</v>
      </c>
      <c r="Y277" s="6">
        <f>IFERROR(VALUE(SUBSTITUTE(SUBSTITUTE(SalesData[[#This Row],[Sales]],"$",""),",",""))/SalesData[[#This Row],[Quantity]],0)</f>
        <v>32.545000000000002</v>
      </c>
      <c r="Z277">
        <f>YEAR(SalesData[[#This Row],[Order Date]])</f>
        <v>2023</v>
      </c>
      <c r="AA277" t="str">
        <f>TEXT(SalesData[[#This Row],[Order Date]],"mmm")</f>
        <v>May</v>
      </c>
      <c r="AB27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78" spans="1:28">
      <c r="A278">
        <v>189</v>
      </c>
      <c r="B278" t="s">
        <v>1737</v>
      </c>
      <c r="C278" s="1">
        <v>45065</v>
      </c>
      <c r="D278" s="1">
        <v>45069</v>
      </c>
      <c r="E278" t="s">
        <v>36</v>
      </c>
      <c r="F278" t="s">
        <v>1738</v>
      </c>
      <c r="G278" t="s">
        <v>869</v>
      </c>
      <c r="H278" t="s">
        <v>25</v>
      </c>
      <c r="I278" t="s">
        <v>26</v>
      </c>
      <c r="J278" t="s">
        <v>81</v>
      </c>
      <c r="K278" t="s">
        <v>81</v>
      </c>
      <c r="L278">
        <v>37128</v>
      </c>
      <c r="M278" t="s">
        <v>62</v>
      </c>
      <c r="N278" t="s">
        <v>1739</v>
      </c>
      <c r="O278" t="s">
        <v>43</v>
      </c>
      <c r="P278" t="s">
        <v>214</v>
      </c>
      <c r="Q278" t="s">
        <v>589</v>
      </c>
      <c r="R278" t="s">
        <v>1740</v>
      </c>
      <c r="S278">
        <v>3</v>
      </c>
      <c r="T278" s="2">
        <v>0.1</v>
      </c>
      <c r="U278" t="s">
        <v>1741</v>
      </c>
      <c r="V278" t="str">
        <f>CHOOSE(MOD(SalesData[[#This Row],[Row ID]]-1,8)+1,"Aarav Sharma","Ananya Singh","Rohan Verma","Priya Gupta","Arjun Mehta","Neha Kapoor","Rahul Joshi","Sneha Patel")</f>
        <v>Arjun Mehta</v>
      </c>
      <c r="W27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78" s="8">
        <f>IFERROR(VALUE(SUBSTITUTE(SUBSTITUTE(SalesData[[#This Row],[Profit]],"$",""),",",""))/VALUE(SUBSTITUTE(SUBSTITUTE(SalesData[[#This Row],[Sales]],"$",""),",","")),0)</f>
        <v>8.1383164512748865E-2</v>
      </c>
      <c r="Y278" s="6">
        <f>IFERROR(VALUE(SUBSTITUTE(SUBSTITUTE(SalesData[[#This Row],[Sales]],"$",""),",",""))/SalesData[[#This Row],[Quantity]],0)</f>
        <v>9.543333333333333</v>
      </c>
      <c r="Z278">
        <f>YEAR(SalesData[[#This Row],[Order Date]])</f>
        <v>2023</v>
      </c>
      <c r="AA278" t="str">
        <f>TEXT(SalesData[[#This Row],[Order Date]],"mmm")</f>
        <v>May</v>
      </c>
      <c r="AB27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79" spans="1:28">
      <c r="A279">
        <v>45</v>
      </c>
      <c r="B279" t="s">
        <v>1742</v>
      </c>
      <c r="C279" s="1">
        <v>45065</v>
      </c>
      <c r="D279" s="1">
        <v>45069</v>
      </c>
      <c r="E279" t="s">
        <v>36</v>
      </c>
      <c r="F279" t="s">
        <v>1743</v>
      </c>
      <c r="G279" t="s">
        <v>1744</v>
      </c>
      <c r="H279" t="s">
        <v>39</v>
      </c>
      <c r="I279" t="s">
        <v>26</v>
      </c>
      <c r="J279" t="s">
        <v>363</v>
      </c>
      <c r="K279" t="s">
        <v>363</v>
      </c>
      <c r="L279">
        <v>77584</v>
      </c>
      <c r="M279" t="s">
        <v>62</v>
      </c>
      <c r="N279" t="s">
        <v>74</v>
      </c>
      <c r="O279" t="s">
        <v>64</v>
      </c>
      <c r="P279" t="s">
        <v>405</v>
      </c>
      <c r="Q279" t="s">
        <v>745</v>
      </c>
      <c r="R279" t="s">
        <v>1745</v>
      </c>
      <c r="S279">
        <v>6</v>
      </c>
      <c r="T279" s="2">
        <v>0.5</v>
      </c>
      <c r="U279" t="s">
        <v>1746</v>
      </c>
      <c r="V279" t="str">
        <f>CHOOSE(MOD(SalesData[[#This Row],[Row ID]]-1,8)+1,"Aarav Sharma","Ananya Singh","Rohan Verma","Priya Gupta","Arjun Mehta","Neha Kapoor","Rahul Joshi","Sneha Patel")</f>
        <v>Arjun Mehta</v>
      </c>
      <c r="W27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79" s="8">
        <f>IFERROR(VALUE(SUBSTITUTE(SUBSTITUTE(SalesData[[#This Row],[Profit]],"$",""),",",""))/VALUE(SUBSTITUTE(SUBSTITUTE(SalesData[[#This Row],[Sales]],"$",""),",","")),0)</f>
        <v>-0.13096537354896318</v>
      </c>
      <c r="Y279" s="6">
        <f>IFERROR(VALUE(SUBSTITUTE(SUBSTITUTE(SalesData[[#This Row],[Sales]],"$",""),",",""))/SalesData[[#This Row],[Quantity]],0)</f>
        <v>16.798333333333336</v>
      </c>
      <c r="Z279">
        <f>YEAR(SalesData[[#This Row],[Order Date]])</f>
        <v>2023</v>
      </c>
      <c r="AA279" t="str">
        <f>TEXT(SalesData[[#This Row],[Order Date]],"mmm")</f>
        <v>May</v>
      </c>
      <c r="AB27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80" spans="1:28">
      <c r="A280">
        <v>265</v>
      </c>
      <c r="B280" t="s">
        <v>1747</v>
      </c>
      <c r="C280" s="1">
        <v>45066</v>
      </c>
      <c r="D280" s="1">
        <v>45068</v>
      </c>
      <c r="E280" t="s">
        <v>36</v>
      </c>
      <c r="F280" t="s">
        <v>1748</v>
      </c>
      <c r="G280" t="s">
        <v>172</v>
      </c>
      <c r="H280" t="s">
        <v>25</v>
      </c>
      <c r="I280" t="s">
        <v>26</v>
      </c>
      <c r="J280" t="s">
        <v>96</v>
      </c>
      <c r="K280" t="s">
        <v>96</v>
      </c>
      <c r="L280">
        <v>29053</v>
      </c>
      <c r="M280" t="s">
        <v>28</v>
      </c>
      <c r="N280" t="s">
        <v>1749</v>
      </c>
      <c r="O280" t="s">
        <v>43</v>
      </c>
      <c r="P280" t="s">
        <v>128</v>
      </c>
      <c r="Q280" t="s">
        <v>175</v>
      </c>
      <c r="R280" t="s">
        <v>1750</v>
      </c>
      <c r="S280">
        <v>1</v>
      </c>
      <c r="T280" s="2">
        <v>0.5</v>
      </c>
      <c r="U280" t="s">
        <v>1751</v>
      </c>
      <c r="V280" t="str">
        <f>CHOOSE(MOD(SalesData[[#This Row],[Row ID]]-1,8)+1,"Aarav Sharma","Ananya Singh","Rohan Verma","Priya Gupta","Arjun Mehta","Neha Kapoor","Rahul Joshi","Sneha Patel")</f>
        <v>Aarav Sharma</v>
      </c>
      <c r="W28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80" s="8">
        <f>IFERROR(VALUE(SUBSTITUTE(SUBSTITUTE(SalesData[[#This Row],[Profit]],"$",""),",",""))/VALUE(SUBSTITUTE(SUBSTITUTE(SalesData[[#This Row],[Sales]],"$",""),",","")),0)</f>
        <v>-8.6973201074149173E-2</v>
      </c>
      <c r="Y280" s="6">
        <f>IFERROR(VALUE(SUBSTITUTE(SUBSTITUTE(SalesData[[#This Row],[Sales]],"$",""),",",""))/SalesData[[#This Row],[Quantity]],0)</f>
        <v>182.47</v>
      </c>
      <c r="Z280">
        <f>YEAR(SalesData[[#This Row],[Order Date]])</f>
        <v>2023</v>
      </c>
      <c r="AA280" t="str">
        <f>TEXT(SalesData[[#This Row],[Order Date]],"mmm")</f>
        <v>May</v>
      </c>
      <c r="AB28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81" spans="1:28">
      <c r="A281">
        <v>385</v>
      </c>
      <c r="B281" t="s">
        <v>1752</v>
      </c>
      <c r="C281" s="1">
        <v>45067</v>
      </c>
      <c r="D281" s="1">
        <v>45071</v>
      </c>
      <c r="E281" t="s">
        <v>36</v>
      </c>
      <c r="F281" t="s">
        <v>1753</v>
      </c>
      <c r="G281" t="s">
        <v>757</v>
      </c>
      <c r="H281" t="s">
        <v>39</v>
      </c>
      <c r="I281" t="s">
        <v>26</v>
      </c>
      <c r="J281" t="s">
        <v>173</v>
      </c>
      <c r="K281" t="s">
        <v>173</v>
      </c>
      <c r="L281">
        <v>60715</v>
      </c>
      <c r="M281" t="s">
        <v>73</v>
      </c>
      <c r="N281" t="s">
        <v>1480</v>
      </c>
      <c r="O281" t="s">
        <v>30</v>
      </c>
      <c r="P281" t="s">
        <v>31</v>
      </c>
      <c r="Q281" t="s">
        <v>1521</v>
      </c>
      <c r="R281" t="s">
        <v>1754</v>
      </c>
      <c r="S281">
        <v>5</v>
      </c>
      <c r="T281" s="2">
        <v>0.3</v>
      </c>
      <c r="U281" t="s">
        <v>1755</v>
      </c>
      <c r="V281" t="str">
        <f>CHOOSE(MOD(SalesData[[#This Row],[Row ID]]-1,8)+1,"Aarav Sharma","Ananya Singh","Rohan Verma","Priya Gupta","Arjun Mehta","Neha Kapoor","Rahul Joshi","Sneha Patel")</f>
        <v>Aarav Sharma</v>
      </c>
      <c r="W28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81" s="8">
        <f>IFERROR(VALUE(SUBSTITUTE(SUBSTITUTE(SalesData[[#This Row],[Profit]],"$",""),",",""))/VALUE(SUBSTITUTE(SUBSTITUTE(SalesData[[#This Row],[Sales]],"$",""),",","")),0)</f>
        <v>-1.4020056469671893E-2</v>
      </c>
      <c r="Y281" s="6">
        <f>IFERROR(VALUE(SUBSTITUTE(SUBSTITUTE(SalesData[[#This Row],[Sales]],"$",""),",",""))/SalesData[[#This Row],[Quantity]],0)</f>
        <v>61.625999999999998</v>
      </c>
      <c r="Z281">
        <f>YEAR(SalesData[[#This Row],[Order Date]])</f>
        <v>2023</v>
      </c>
      <c r="AA281" t="str">
        <f>TEXT(SalesData[[#This Row],[Order Date]],"mmm")</f>
        <v>May</v>
      </c>
      <c r="AB28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82" spans="1:28">
      <c r="A282">
        <v>372</v>
      </c>
      <c r="B282" t="s">
        <v>1756</v>
      </c>
      <c r="C282" s="1">
        <v>45067</v>
      </c>
      <c r="D282" s="1">
        <v>45072</v>
      </c>
      <c r="E282" t="s">
        <v>49</v>
      </c>
      <c r="F282" t="s">
        <v>1757</v>
      </c>
      <c r="G282" t="s">
        <v>1758</v>
      </c>
      <c r="H282" t="s">
        <v>60</v>
      </c>
      <c r="I282" t="s">
        <v>26</v>
      </c>
      <c r="J282" t="s">
        <v>61</v>
      </c>
      <c r="K282" t="s">
        <v>61</v>
      </c>
      <c r="L282">
        <v>82069</v>
      </c>
      <c r="M282" t="s">
        <v>62</v>
      </c>
      <c r="N282" t="s">
        <v>1759</v>
      </c>
      <c r="O282" t="s">
        <v>64</v>
      </c>
      <c r="P282" t="s">
        <v>65</v>
      </c>
      <c r="Q282" t="s">
        <v>1454</v>
      </c>
      <c r="R282" t="s">
        <v>1760</v>
      </c>
      <c r="S282">
        <v>2</v>
      </c>
      <c r="T282" s="2">
        <v>0.1</v>
      </c>
      <c r="U282" t="s">
        <v>1761</v>
      </c>
      <c r="V282" t="str">
        <f>CHOOSE(MOD(SalesData[[#This Row],[Row ID]]-1,8)+1,"Aarav Sharma","Ananya Singh","Rohan Verma","Priya Gupta","Arjun Mehta","Neha Kapoor","Rahul Joshi","Sneha Patel")</f>
        <v>Priya Gupta</v>
      </c>
      <c r="W28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82" s="8">
        <f>IFERROR(VALUE(SUBSTITUTE(SUBSTITUTE(SalesData[[#This Row],[Profit]],"$",""),",",""))/VALUE(SUBSTITUTE(SUBSTITUTE(SalesData[[#This Row],[Sales]],"$",""),",","")),0)</f>
        <v>0.22047435309354846</v>
      </c>
      <c r="Y282" s="6">
        <f>IFERROR(VALUE(SUBSTITUTE(SUBSTITUTE(SalesData[[#This Row],[Sales]],"$",""),",",""))/SalesData[[#This Row],[Quantity]],0)</f>
        <v>185.30500000000001</v>
      </c>
      <c r="Z282">
        <f>YEAR(SalesData[[#This Row],[Order Date]])</f>
        <v>2023</v>
      </c>
      <c r="AA282" t="str">
        <f>TEXT(SalesData[[#This Row],[Order Date]],"mmm")</f>
        <v>May</v>
      </c>
      <c r="AB28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83" spans="1:28">
      <c r="A283">
        <v>366</v>
      </c>
      <c r="B283" t="s">
        <v>1762</v>
      </c>
      <c r="C283" s="1">
        <v>45067</v>
      </c>
      <c r="D283" s="1">
        <v>45071</v>
      </c>
      <c r="E283" t="s">
        <v>382</v>
      </c>
      <c r="F283" t="s">
        <v>1763</v>
      </c>
      <c r="G283" t="s">
        <v>24</v>
      </c>
      <c r="H283" t="s">
        <v>25</v>
      </c>
      <c r="I283" t="s">
        <v>26</v>
      </c>
      <c r="J283" t="s">
        <v>641</v>
      </c>
      <c r="K283" t="s">
        <v>641</v>
      </c>
      <c r="L283">
        <v>80871</v>
      </c>
      <c r="M283" t="s">
        <v>62</v>
      </c>
      <c r="N283" t="s">
        <v>1064</v>
      </c>
      <c r="O283" t="s">
        <v>30</v>
      </c>
      <c r="P283" t="s">
        <v>31</v>
      </c>
      <c r="Q283" t="s">
        <v>582</v>
      </c>
      <c r="R283" t="s">
        <v>1764</v>
      </c>
      <c r="S283">
        <v>1</v>
      </c>
      <c r="T283" s="2">
        <v>0.15</v>
      </c>
      <c r="U283" t="s">
        <v>1765</v>
      </c>
      <c r="V283" t="str">
        <f>CHOOSE(MOD(SalesData[[#This Row],[Row ID]]-1,8)+1,"Aarav Sharma","Ananya Singh","Rohan Verma","Priya Gupta","Arjun Mehta","Neha Kapoor","Rahul Joshi","Sneha Patel")</f>
        <v>Neha Kapoor</v>
      </c>
      <c r="W28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83" s="8">
        <f>IFERROR(VALUE(SUBSTITUTE(SUBSTITUTE(SalesData[[#This Row],[Profit]],"$",""),",",""))/VALUE(SUBSTITUTE(SUBSTITUTE(SalesData[[#This Row],[Sales]],"$",""),",","")),0)</f>
        <v>9.0883231403783252E-2</v>
      </c>
      <c r="Y283" s="6">
        <f>IFERROR(VALUE(SUBSTITUTE(SUBSTITUTE(SalesData[[#This Row],[Sales]],"$",""),",",""))/SalesData[[#This Row],[Quantity]],0)</f>
        <v>210.93</v>
      </c>
      <c r="Z283">
        <f>YEAR(SalesData[[#This Row],[Order Date]])</f>
        <v>2023</v>
      </c>
      <c r="AA283" t="str">
        <f>TEXT(SalesData[[#This Row],[Order Date]],"mmm")</f>
        <v>May</v>
      </c>
      <c r="AB28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84" spans="1:28">
      <c r="A284">
        <v>177</v>
      </c>
      <c r="B284" t="s">
        <v>1766</v>
      </c>
      <c r="C284" s="1">
        <v>45068</v>
      </c>
      <c r="D284" s="1">
        <v>45071</v>
      </c>
      <c r="E284" t="s">
        <v>36</v>
      </c>
      <c r="F284" t="s">
        <v>1767</v>
      </c>
      <c r="G284" t="s">
        <v>308</v>
      </c>
      <c r="H284" t="s">
        <v>39</v>
      </c>
      <c r="I284" t="s">
        <v>26</v>
      </c>
      <c r="J284" t="s">
        <v>40</v>
      </c>
      <c r="K284" t="s">
        <v>40</v>
      </c>
      <c r="L284">
        <v>26241</v>
      </c>
      <c r="M284" t="s">
        <v>41</v>
      </c>
      <c r="N284" t="s">
        <v>1768</v>
      </c>
      <c r="O284" t="s">
        <v>64</v>
      </c>
      <c r="P284" t="s">
        <v>105</v>
      </c>
      <c r="Q284" t="s">
        <v>1769</v>
      </c>
      <c r="R284" t="s">
        <v>1770</v>
      </c>
      <c r="S284">
        <v>1</v>
      </c>
      <c r="T284" s="2">
        <v>0.1</v>
      </c>
      <c r="U284" t="s">
        <v>1771</v>
      </c>
      <c r="V284" t="str">
        <f>CHOOSE(MOD(SalesData[[#This Row],[Row ID]]-1,8)+1,"Aarav Sharma","Ananya Singh","Rohan Verma","Priya Gupta","Arjun Mehta","Neha Kapoor","Rahul Joshi","Sneha Patel")</f>
        <v>Aarav Sharma</v>
      </c>
      <c r="W28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84" s="8">
        <f>IFERROR(VALUE(SUBSTITUTE(SUBSTITUTE(SalesData[[#This Row],[Profit]],"$",""),",",""))/VALUE(SUBSTITUTE(SUBSTITUTE(SalesData[[#This Row],[Sales]],"$",""),",","")),0)</f>
        <v>0.16947870167208898</v>
      </c>
      <c r="Y284" s="6">
        <f>IFERROR(VALUE(SUBSTITUTE(SUBSTITUTE(SalesData[[#This Row],[Sales]],"$",""),",",""))/SalesData[[#This Row],[Quantity]],0)</f>
        <v>132.16999999999999</v>
      </c>
      <c r="Z284">
        <f>YEAR(SalesData[[#This Row],[Order Date]])</f>
        <v>2023</v>
      </c>
      <c r="AA284" t="str">
        <f>TEXT(SalesData[[#This Row],[Order Date]],"mmm")</f>
        <v>May</v>
      </c>
      <c r="AB28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85" spans="1:28">
      <c r="A285">
        <v>191</v>
      </c>
      <c r="B285" t="s">
        <v>1772</v>
      </c>
      <c r="C285" s="1">
        <v>45070</v>
      </c>
      <c r="D285" s="1">
        <v>45075</v>
      </c>
      <c r="E285" t="s">
        <v>36</v>
      </c>
      <c r="F285" t="s">
        <v>1773</v>
      </c>
      <c r="G285" t="s">
        <v>267</v>
      </c>
      <c r="H285" t="s">
        <v>25</v>
      </c>
      <c r="I285" t="s">
        <v>26</v>
      </c>
      <c r="J285" t="s">
        <v>301</v>
      </c>
      <c r="K285" t="s">
        <v>301</v>
      </c>
      <c r="L285">
        <v>22112</v>
      </c>
      <c r="M285" t="s">
        <v>73</v>
      </c>
      <c r="N285" t="s">
        <v>499</v>
      </c>
      <c r="O285" t="s">
        <v>30</v>
      </c>
      <c r="P285" t="s">
        <v>31</v>
      </c>
      <c r="Q285" t="s">
        <v>1701</v>
      </c>
      <c r="R285" t="s">
        <v>1774</v>
      </c>
      <c r="S285">
        <v>3</v>
      </c>
      <c r="T285" s="2">
        <v>0</v>
      </c>
      <c r="U285" t="s">
        <v>1775</v>
      </c>
      <c r="V285" t="str">
        <f>CHOOSE(MOD(SalesData[[#This Row],[Row ID]]-1,8)+1,"Aarav Sharma","Ananya Singh","Rohan Verma","Priya Gupta","Arjun Mehta","Neha Kapoor","Rahul Joshi","Sneha Patel")</f>
        <v>Rahul Joshi</v>
      </c>
      <c r="W28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85" s="8">
        <f>IFERROR(VALUE(SUBSTITUTE(SUBSTITUTE(SalesData[[#This Row],[Profit]],"$",""),",",""))/VALUE(SUBSTITUTE(SUBSTITUTE(SalesData[[#This Row],[Sales]],"$",""),",","")),0)</f>
        <v>0.21818505655000445</v>
      </c>
      <c r="Y285" s="6">
        <f>IFERROR(VALUE(SUBSTITUTE(SUBSTITUTE(SalesData[[#This Row],[Sales]],"$",""),",",""))/SalesData[[#This Row],[Quantity]],0)</f>
        <v>37.43</v>
      </c>
      <c r="Z285">
        <f>YEAR(SalesData[[#This Row],[Order Date]])</f>
        <v>2023</v>
      </c>
      <c r="AA285" t="str">
        <f>TEXT(SalesData[[#This Row],[Order Date]],"mmm")</f>
        <v>May</v>
      </c>
      <c r="AB28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86" spans="1:28">
      <c r="A286">
        <v>102</v>
      </c>
      <c r="B286" t="s">
        <v>1776</v>
      </c>
      <c r="C286" s="1">
        <v>45070</v>
      </c>
      <c r="D286" s="1">
        <v>45071</v>
      </c>
      <c r="E286" t="s">
        <v>49</v>
      </c>
      <c r="F286" t="s">
        <v>1777</v>
      </c>
      <c r="G286" t="s">
        <v>648</v>
      </c>
      <c r="H286" t="s">
        <v>39</v>
      </c>
      <c r="I286" t="s">
        <v>26</v>
      </c>
      <c r="J286" t="s">
        <v>229</v>
      </c>
      <c r="K286" t="s">
        <v>229</v>
      </c>
      <c r="L286">
        <v>48467</v>
      </c>
      <c r="M286" t="s">
        <v>73</v>
      </c>
      <c r="N286" t="s">
        <v>486</v>
      </c>
      <c r="O286" t="s">
        <v>64</v>
      </c>
      <c r="P286" t="s">
        <v>405</v>
      </c>
      <c r="Q286" t="s">
        <v>1300</v>
      </c>
      <c r="R286" t="s">
        <v>1778</v>
      </c>
      <c r="S286">
        <v>7</v>
      </c>
      <c r="T286" s="2">
        <v>0.1</v>
      </c>
      <c r="U286" t="s">
        <v>1779</v>
      </c>
      <c r="V286" t="str">
        <f>CHOOSE(MOD(SalesData[[#This Row],[Row ID]]-1,8)+1,"Aarav Sharma","Ananya Singh","Rohan Verma","Priya Gupta","Arjun Mehta","Neha Kapoor","Rahul Joshi","Sneha Patel")</f>
        <v>Neha Kapoor</v>
      </c>
      <c r="W28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86" s="8">
        <f>IFERROR(VALUE(SUBSTITUTE(SUBSTITUTE(SalesData[[#This Row],[Profit]],"$",""),",",""))/VALUE(SUBSTITUTE(SUBSTITUTE(SalesData[[#This Row],[Sales]],"$",""),",","")),0)</f>
        <v>0.19508345688459516</v>
      </c>
      <c r="Y286" s="6">
        <f>IFERROR(VALUE(SUBSTITUTE(SUBSTITUTE(SalesData[[#This Row],[Sales]],"$",""),",",""))/SalesData[[#This Row],[Quantity]],0)</f>
        <v>89.61</v>
      </c>
      <c r="Z286">
        <f>YEAR(SalesData[[#This Row],[Order Date]])</f>
        <v>2023</v>
      </c>
      <c r="AA286" t="str">
        <f>TEXT(SalesData[[#This Row],[Order Date]],"mmm")</f>
        <v>May</v>
      </c>
      <c r="AB28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87" spans="1:28">
      <c r="A287">
        <v>345</v>
      </c>
      <c r="B287" t="s">
        <v>1780</v>
      </c>
      <c r="C287" s="1">
        <v>45070</v>
      </c>
      <c r="D287" s="1">
        <v>45074</v>
      </c>
      <c r="E287" t="s">
        <v>382</v>
      </c>
      <c r="F287" t="s">
        <v>1781</v>
      </c>
      <c r="G287" t="s">
        <v>932</v>
      </c>
      <c r="H287" t="s">
        <v>25</v>
      </c>
      <c r="I287" t="s">
        <v>26</v>
      </c>
      <c r="J287" t="s">
        <v>40</v>
      </c>
      <c r="K287" t="s">
        <v>40</v>
      </c>
      <c r="L287">
        <v>18949</v>
      </c>
      <c r="M287" t="s">
        <v>41</v>
      </c>
      <c r="N287" t="s">
        <v>1782</v>
      </c>
      <c r="O287" t="s">
        <v>43</v>
      </c>
      <c r="P287" t="s">
        <v>189</v>
      </c>
      <c r="Q287" t="s">
        <v>1783</v>
      </c>
      <c r="R287" t="s">
        <v>1784</v>
      </c>
      <c r="S287">
        <v>3</v>
      </c>
      <c r="T287" s="2">
        <v>0.05</v>
      </c>
      <c r="U287" t="s">
        <v>1785</v>
      </c>
      <c r="V287" t="str">
        <f>CHOOSE(MOD(SalesData[[#This Row],[Row ID]]-1,8)+1,"Aarav Sharma","Ananya Singh","Rohan Verma","Priya Gupta","Arjun Mehta","Neha Kapoor","Rahul Joshi","Sneha Patel")</f>
        <v>Aarav Sharma</v>
      </c>
      <c r="W28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87" s="8">
        <f>IFERROR(VALUE(SUBSTITUTE(SUBSTITUTE(SalesData[[#This Row],[Profit]],"$",""),",",""))/VALUE(SUBSTITUTE(SUBSTITUTE(SalesData[[#This Row],[Sales]],"$",""),",","")),0)</f>
        <v>0.25104841784216547</v>
      </c>
      <c r="Y287" s="6">
        <f>IFERROR(VALUE(SUBSTITUTE(SUBSTITUTE(SalesData[[#This Row],[Sales]],"$",""),",",""))/SalesData[[#This Row],[Quantity]],0)</f>
        <v>17.486666666666668</v>
      </c>
      <c r="Z287">
        <f>YEAR(SalesData[[#This Row],[Order Date]])</f>
        <v>2023</v>
      </c>
      <c r="AA287" t="str">
        <f>TEXT(SalesData[[#This Row],[Order Date]],"mmm")</f>
        <v>May</v>
      </c>
      <c r="AB28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88" spans="1:28">
      <c r="A288">
        <v>14</v>
      </c>
      <c r="B288" t="s">
        <v>1786</v>
      </c>
      <c r="C288" s="1">
        <v>45071</v>
      </c>
      <c r="D288" s="1">
        <v>45077</v>
      </c>
      <c r="E288" t="s">
        <v>36</v>
      </c>
      <c r="F288" t="s">
        <v>1787</v>
      </c>
      <c r="G288" t="s">
        <v>149</v>
      </c>
      <c r="H288" t="s">
        <v>25</v>
      </c>
      <c r="I288" t="s">
        <v>26</v>
      </c>
      <c r="J288" t="s">
        <v>72</v>
      </c>
      <c r="K288" t="s">
        <v>72</v>
      </c>
      <c r="L288">
        <v>68871</v>
      </c>
      <c r="M288" t="s">
        <v>73</v>
      </c>
      <c r="N288" t="s">
        <v>1788</v>
      </c>
      <c r="O288" t="s">
        <v>30</v>
      </c>
      <c r="P288" t="s">
        <v>120</v>
      </c>
      <c r="Q288" t="s">
        <v>1789</v>
      </c>
      <c r="R288" t="s">
        <v>1790</v>
      </c>
      <c r="S288">
        <v>1</v>
      </c>
      <c r="T288" s="2">
        <v>0.05</v>
      </c>
      <c r="U288" t="s">
        <v>1791</v>
      </c>
      <c r="V288" t="str">
        <f>CHOOSE(MOD(SalesData[[#This Row],[Row ID]]-1,8)+1,"Aarav Sharma","Ananya Singh","Rohan Verma","Priya Gupta","Arjun Mehta","Neha Kapoor","Rahul Joshi","Sneha Patel")</f>
        <v>Neha Kapoor</v>
      </c>
      <c r="W28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88" s="8">
        <f>IFERROR(VALUE(SUBSTITUTE(SUBSTITUTE(SalesData[[#This Row],[Profit]],"$",""),",",""))/VALUE(SUBSTITUTE(SUBSTITUTE(SalesData[[#This Row],[Sales]],"$",""),",","")),0)</f>
        <v>0.14727644836272041</v>
      </c>
      <c r="Y288" s="6">
        <f>IFERROR(VALUE(SUBSTITUTE(SUBSTITUTE(SalesData[[#This Row],[Sales]],"$",""),",",""))/SalesData[[#This Row],[Quantity]],0)</f>
        <v>127.04</v>
      </c>
      <c r="Z288">
        <f>YEAR(SalesData[[#This Row],[Order Date]])</f>
        <v>2023</v>
      </c>
      <c r="AA288" t="str">
        <f>TEXT(SalesData[[#This Row],[Order Date]],"mmm")</f>
        <v>May</v>
      </c>
      <c r="AB28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89" spans="1:28">
      <c r="A289">
        <v>537</v>
      </c>
      <c r="B289" t="s">
        <v>1792</v>
      </c>
      <c r="C289" s="1">
        <v>45072</v>
      </c>
      <c r="D289" s="1">
        <v>45074</v>
      </c>
      <c r="E289" t="s">
        <v>36</v>
      </c>
      <c r="F289" t="s">
        <v>1793</v>
      </c>
      <c r="G289" t="s">
        <v>1194</v>
      </c>
      <c r="H289" t="s">
        <v>39</v>
      </c>
      <c r="I289" t="s">
        <v>26</v>
      </c>
      <c r="J289" t="s">
        <v>27</v>
      </c>
      <c r="K289" t="s">
        <v>27</v>
      </c>
      <c r="L289">
        <v>34756</v>
      </c>
      <c r="M289" t="s">
        <v>28</v>
      </c>
      <c r="N289" t="s">
        <v>1794</v>
      </c>
      <c r="O289" t="s">
        <v>43</v>
      </c>
      <c r="P289" t="s">
        <v>128</v>
      </c>
      <c r="Q289" t="s">
        <v>1795</v>
      </c>
      <c r="R289" t="s">
        <v>1796</v>
      </c>
      <c r="S289">
        <v>2</v>
      </c>
      <c r="T289" s="2">
        <v>0.15</v>
      </c>
      <c r="U289" t="s">
        <v>1596</v>
      </c>
      <c r="V289" t="str">
        <f>CHOOSE(MOD(SalesData[[#This Row],[Row ID]]-1,8)+1,"Aarav Sharma","Ananya Singh","Rohan Verma","Priya Gupta","Arjun Mehta","Neha Kapoor","Rahul Joshi","Sneha Patel")</f>
        <v>Aarav Sharma</v>
      </c>
      <c r="W28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89" s="8">
        <f>IFERROR(VALUE(SUBSTITUTE(SUBSTITUTE(SalesData[[#This Row],[Profit]],"$",""),",",""))/VALUE(SUBSTITUTE(SUBSTITUTE(SalesData[[#This Row],[Sales]],"$",""),",","")),0)</f>
        <v>9.9275998244844246E-2</v>
      </c>
      <c r="Y289" s="6">
        <f>IFERROR(VALUE(SUBSTITUTE(SUBSTITUTE(SalesData[[#This Row],[Sales]],"$",""),",",""))/SalesData[[#This Row],[Quantity]],0)</f>
        <v>45.58</v>
      </c>
      <c r="Z289">
        <f>YEAR(SalesData[[#This Row],[Order Date]])</f>
        <v>2023</v>
      </c>
      <c r="AA289" t="str">
        <f>TEXT(SalesData[[#This Row],[Order Date]],"mmm")</f>
        <v>May</v>
      </c>
      <c r="AB28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90" spans="1:28">
      <c r="A290">
        <v>358</v>
      </c>
      <c r="B290" t="s">
        <v>1797</v>
      </c>
      <c r="C290" s="1">
        <v>45075</v>
      </c>
      <c r="D290" s="1">
        <v>45078</v>
      </c>
      <c r="E290" t="s">
        <v>22</v>
      </c>
      <c r="F290" t="s">
        <v>1798</v>
      </c>
      <c r="G290" t="s">
        <v>1025</v>
      </c>
      <c r="H290" t="s">
        <v>39</v>
      </c>
      <c r="I290" t="s">
        <v>26</v>
      </c>
      <c r="J290" t="s">
        <v>150</v>
      </c>
      <c r="K290" t="s">
        <v>150</v>
      </c>
      <c r="L290">
        <v>45268</v>
      </c>
      <c r="M290" t="s">
        <v>73</v>
      </c>
      <c r="N290" t="s">
        <v>1799</v>
      </c>
      <c r="O290" t="s">
        <v>30</v>
      </c>
      <c r="P290" t="s">
        <v>31</v>
      </c>
      <c r="Q290" t="s">
        <v>506</v>
      </c>
      <c r="R290" t="s">
        <v>1800</v>
      </c>
      <c r="S290">
        <v>5</v>
      </c>
      <c r="T290" s="2">
        <v>0</v>
      </c>
      <c r="U290" t="s">
        <v>1801</v>
      </c>
      <c r="V290" t="str">
        <f>CHOOSE(MOD(SalesData[[#This Row],[Row ID]]-1,8)+1,"Aarav Sharma","Ananya Singh","Rohan Verma","Priya Gupta","Arjun Mehta","Neha Kapoor","Rahul Joshi","Sneha Patel")</f>
        <v>Neha Kapoor</v>
      </c>
      <c r="W29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90" s="8">
        <f>IFERROR(VALUE(SUBSTITUTE(SUBSTITUTE(SalesData[[#This Row],[Profit]],"$",""),",",""))/VALUE(SUBSTITUTE(SUBSTITUTE(SalesData[[#This Row],[Sales]],"$",""),",","")),0)</f>
        <v>0.15766853389994204</v>
      </c>
      <c r="Y290" s="6">
        <f>IFERROR(VALUE(SUBSTITUTE(SUBSTITUTE(SalesData[[#This Row],[Sales]],"$",""),",",""))/SalesData[[#This Row],[Quantity]],0)</f>
        <v>41.416000000000004</v>
      </c>
      <c r="Z290">
        <f>YEAR(SalesData[[#This Row],[Order Date]])</f>
        <v>2023</v>
      </c>
      <c r="AA290" t="str">
        <f>TEXT(SalesData[[#This Row],[Order Date]],"mmm")</f>
        <v>May</v>
      </c>
      <c r="AB29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91" spans="1:28">
      <c r="A291">
        <v>44</v>
      </c>
      <c r="B291" t="s">
        <v>1802</v>
      </c>
      <c r="C291" s="1">
        <v>45077</v>
      </c>
      <c r="D291" s="1">
        <v>45082</v>
      </c>
      <c r="E291" t="s">
        <v>22</v>
      </c>
      <c r="F291" t="s">
        <v>1803</v>
      </c>
      <c r="G291" t="s">
        <v>816</v>
      </c>
      <c r="H291" t="s">
        <v>25</v>
      </c>
      <c r="I291" t="s">
        <v>26</v>
      </c>
      <c r="J291" t="s">
        <v>157</v>
      </c>
      <c r="K291" t="s">
        <v>157</v>
      </c>
      <c r="L291">
        <v>10117</v>
      </c>
      <c r="M291" t="s">
        <v>62</v>
      </c>
      <c r="N291" t="s">
        <v>1804</v>
      </c>
      <c r="O291" t="s">
        <v>30</v>
      </c>
      <c r="P291" t="s">
        <v>222</v>
      </c>
      <c r="Q291" t="s">
        <v>824</v>
      </c>
      <c r="R291" t="s">
        <v>1805</v>
      </c>
      <c r="S291">
        <v>5</v>
      </c>
      <c r="T291" s="2">
        <v>0.5</v>
      </c>
      <c r="U291" t="s">
        <v>1806</v>
      </c>
      <c r="V291" t="str">
        <f>CHOOSE(MOD(SalesData[[#This Row],[Row ID]]-1,8)+1,"Aarav Sharma","Ananya Singh","Rohan Verma","Priya Gupta","Arjun Mehta","Neha Kapoor","Rahul Joshi","Sneha Patel")</f>
        <v>Priya Gupta</v>
      </c>
      <c r="W29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291" s="8">
        <f>IFERROR(VALUE(SUBSTITUTE(SUBSTITUTE(SalesData[[#This Row],[Profit]],"$",""),",",""))/VALUE(SUBSTITUTE(SUBSTITUTE(SalesData[[#This Row],[Sales]],"$",""),",","")),0)</f>
        <v>-0.21073825503355703</v>
      </c>
      <c r="Y291" s="6">
        <f>IFERROR(VALUE(SUBSTITUTE(SUBSTITUTE(SalesData[[#This Row],[Sales]],"$",""),",",""))/SalesData[[#This Row],[Quantity]],0)</f>
        <v>29.8</v>
      </c>
      <c r="Z291">
        <f>YEAR(SalesData[[#This Row],[Order Date]])</f>
        <v>2023</v>
      </c>
      <c r="AA291" t="str">
        <f>TEXT(SalesData[[#This Row],[Order Date]],"mmm")</f>
        <v>May</v>
      </c>
      <c r="AB29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92" spans="1:28">
      <c r="A292">
        <v>489</v>
      </c>
      <c r="B292" t="s">
        <v>1807</v>
      </c>
      <c r="C292" s="1">
        <v>45078</v>
      </c>
      <c r="D292" s="1">
        <v>45082</v>
      </c>
      <c r="E292" t="s">
        <v>36</v>
      </c>
      <c r="F292" t="s">
        <v>1808</v>
      </c>
      <c r="G292" t="s">
        <v>1809</v>
      </c>
      <c r="H292" t="s">
        <v>60</v>
      </c>
      <c r="I292" t="s">
        <v>26</v>
      </c>
      <c r="J292" t="s">
        <v>157</v>
      </c>
      <c r="K292" t="s">
        <v>157</v>
      </c>
      <c r="L292">
        <v>64816</v>
      </c>
      <c r="M292" t="s">
        <v>62</v>
      </c>
      <c r="N292" t="s">
        <v>1810</v>
      </c>
      <c r="O292" t="s">
        <v>64</v>
      </c>
      <c r="P292" t="s">
        <v>65</v>
      </c>
      <c r="Q292" t="s">
        <v>1811</v>
      </c>
      <c r="R292" t="s">
        <v>1812</v>
      </c>
      <c r="S292">
        <v>3</v>
      </c>
      <c r="T292" s="2">
        <v>0.05</v>
      </c>
      <c r="U292" t="s">
        <v>1813</v>
      </c>
      <c r="V292" t="str">
        <f>CHOOSE(MOD(SalesData[[#This Row],[Row ID]]-1,8)+1,"Aarav Sharma","Ananya Singh","Rohan Verma","Priya Gupta","Arjun Mehta","Neha Kapoor","Rahul Joshi","Sneha Patel")</f>
        <v>Aarav Sharma</v>
      </c>
      <c r="W29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292" s="8">
        <f>IFERROR(VALUE(SUBSTITUTE(SUBSTITUTE(SalesData[[#This Row],[Profit]],"$",""),",",""))/VALUE(SUBSTITUTE(SUBSTITUTE(SalesData[[#This Row],[Sales]],"$",""),",","")),0)</f>
        <v>0.20814198498027986</v>
      </c>
      <c r="Y292" s="6">
        <f>IFERROR(VALUE(SUBSTITUTE(SUBSTITUTE(SalesData[[#This Row],[Sales]],"$",""),",",""))/SalesData[[#This Row],[Quantity]],0)</f>
        <v>123.39333333333333</v>
      </c>
      <c r="Z292">
        <f>YEAR(SalesData[[#This Row],[Order Date]])</f>
        <v>2023</v>
      </c>
      <c r="AA292" t="str">
        <f>TEXT(SalesData[[#This Row],[Order Date]],"mmm")</f>
        <v>Jun</v>
      </c>
      <c r="AB29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93" spans="1:28">
      <c r="A293">
        <v>226</v>
      </c>
      <c r="B293" t="s">
        <v>1814</v>
      </c>
      <c r="C293" s="1">
        <v>45080</v>
      </c>
      <c r="D293" s="1">
        <v>45083</v>
      </c>
      <c r="E293" t="s">
        <v>49</v>
      </c>
      <c r="F293" t="s">
        <v>1815</v>
      </c>
      <c r="G293" t="s">
        <v>1809</v>
      </c>
      <c r="H293" t="s">
        <v>25</v>
      </c>
      <c r="I293" t="s">
        <v>26</v>
      </c>
      <c r="J293" t="s">
        <v>52</v>
      </c>
      <c r="K293" t="s">
        <v>52</v>
      </c>
      <c r="L293">
        <v>19076</v>
      </c>
      <c r="M293" t="s">
        <v>41</v>
      </c>
      <c r="N293" t="s">
        <v>1816</v>
      </c>
      <c r="O293" t="s">
        <v>64</v>
      </c>
      <c r="P293" t="s">
        <v>105</v>
      </c>
      <c r="Q293" t="s">
        <v>1817</v>
      </c>
      <c r="R293" t="s">
        <v>1818</v>
      </c>
      <c r="S293">
        <v>4</v>
      </c>
      <c r="T293" s="2">
        <v>0.05</v>
      </c>
      <c r="U293" t="s">
        <v>1819</v>
      </c>
      <c r="V293" t="str">
        <f>CHOOSE(MOD(SalesData[[#This Row],[Row ID]]-1,8)+1,"Aarav Sharma","Ananya Singh","Rohan Verma","Priya Gupta","Arjun Mehta","Neha Kapoor","Rahul Joshi","Sneha Patel")</f>
        <v>Ananya Singh</v>
      </c>
      <c r="W29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93" s="8">
        <f>IFERROR(VALUE(SUBSTITUTE(SUBSTITUTE(SalesData[[#This Row],[Profit]],"$",""),",",""))/VALUE(SUBSTITUTE(SUBSTITUTE(SalesData[[#This Row],[Sales]],"$",""),",","")),0)</f>
        <v>0.25652061633812517</v>
      </c>
      <c r="Y293" s="6">
        <f>IFERROR(VALUE(SUBSTITUTE(SUBSTITUTE(SalesData[[#This Row],[Sales]],"$",""),",",""))/SalesData[[#This Row],[Quantity]],0)</f>
        <v>29.0425</v>
      </c>
      <c r="Z293">
        <f>YEAR(SalesData[[#This Row],[Order Date]])</f>
        <v>2023</v>
      </c>
      <c r="AA293" t="str">
        <f>TEXT(SalesData[[#This Row],[Order Date]],"mmm")</f>
        <v>Jun</v>
      </c>
      <c r="AB29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94" spans="1:28">
      <c r="A294">
        <v>598</v>
      </c>
      <c r="B294" t="s">
        <v>1820</v>
      </c>
      <c r="C294" s="1">
        <v>45090</v>
      </c>
      <c r="D294" s="1">
        <v>45093</v>
      </c>
      <c r="E294" t="s">
        <v>36</v>
      </c>
      <c r="F294" t="s">
        <v>1821</v>
      </c>
      <c r="G294" t="s">
        <v>1212</v>
      </c>
      <c r="H294" t="s">
        <v>39</v>
      </c>
      <c r="I294" t="s">
        <v>26</v>
      </c>
      <c r="J294" t="s">
        <v>204</v>
      </c>
      <c r="K294" t="s">
        <v>204</v>
      </c>
      <c r="L294">
        <v>67153</v>
      </c>
      <c r="M294" t="s">
        <v>28</v>
      </c>
      <c r="N294" t="s">
        <v>1768</v>
      </c>
      <c r="O294" t="s">
        <v>30</v>
      </c>
      <c r="P294" t="s">
        <v>197</v>
      </c>
      <c r="Q294" t="s">
        <v>1822</v>
      </c>
      <c r="R294" t="s">
        <v>1823</v>
      </c>
      <c r="S294">
        <v>5</v>
      </c>
      <c r="T294" s="2">
        <v>0.15</v>
      </c>
      <c r="U294" t="s">
        <v>1824</v>
      </c>
      <c r="V294" t="str">
        <f>CHOOSE(MOD(SalesData[[#This Row],[Row ID]]-1,8)+1,"Aarav Sharma","Ananya Singh","Rohan Verma","Priya Gupta","Arjun Mehta","Neha Kapoor","Rahul Joshi","Sneha Patel")</f>
        <v>Neha Kapoor</v>
      </c>
      <c r="W29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94" s="8">
        <f>IFERROR(VALUE(SUBSTITUTE(SUBSTITUTE(SalesData[[#This Row],[Profit]],"$",""),",",""))/VALUE(SUBSTITUTE(SUBSTITUTE(SalesData[[#This Row],[Sales]],"$",""),",","")),0)</f>
        <v>-1.5259021896696423E-2</v>
      </c>
      <c r="Y294" s="6">
        <f>IFERROR(VALUE(SUBSTITUTE(SUBSTITUTE(SalesData[[#This Row],[Sales]],"$",""),",",""))/SalesData[[#This Row],[Quantity]],0)</f>
        <v>26.213999999999999</v>
      </c>
      <c r="Z294">
        <f>YEAR(SalesData[[#This Row],[Order Date]])</f>
        <v>2023</v>
      </c>
      <c r="AA294" t="str">
        <f>TEXT(SalesData[[#This Row],[Order Date]],"mmm")</f>
        <v>Jun</v>
      </c>
      <c r="AB29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95" spans="1:28">
      <c r="A295">
        <v>170</v>
      </c>
      <c r="B295" t="s">
        <v>1825</v>
      </c>
      <c r="C295" s="1">
        <v>45094</v>
      </c>
      <c r="D295" s="1">
        <v>45097</v>
      </c>
      <c r="E295" t="s">
        <v>36</v>
      </c>
      <c r="F295" t="s">
        <v>1826</v>
      </c>
      <c r="G295" t="s">
        <v>370</v>
      </c>
      <c r="H295" t="s">
        <v>25</v>
      </c>
      <c r="I295" t="s">
        <v>26</v>
      </c>
      <c r="J295" t="s">
        <v>40</v>
      </c>
      <c r="K295" t="s">
        <v>40</v>
      </c>
      <c r="L295">
        <v>84619</v>
      </c>
      <c r="M295" t="s">
        <v>41</v>
      </c>
      <c r="N295" t="s">
        <v>1827</v>
      </c>
      <c r="O295" t="s">
        <v>43</v>
      </c>
      <c r="P295" t="s">
        <v>128</v>
      </c>
      <c r="Q295" t="s">
        <v>1828</v>
      </c>
      <c r="R295" t="s">
        <v>1829</v>
      </c>
      <c r="S295">
        <v>3</v>
      </c>
      <c r="T295" s="2">
        <v>0.15</v>
      </c>
      <c r="U295" t="s">
        <v>1029</v>
      </c>
      <c r="V295" t="str">
        <f>CHOOSE(MOD(SalesData[[#This Row],[Row ID]]-1,8)+1,"Aarav Sharma","Ananya Singh","Rohan Verma","Priya Gupta","Arjun Mehta","Neha Kapoor","Rahul Joshi","Sneha Patel")</f>
        <v>Ananya Singh</v>
      </c>
      <c r="W29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95" s="8">
        <f>IFERROR(VALUE(SUBSTITUTE(SUBSTITUTE(SalesData[[#This Row],[Profit]],"$",""),",",""))/VALUE(SUBSTITUTE(SUBSTITUTE(SalesData[[#This Row],[Sales]],"$",""),",","")),0)</f>
        <v>6.7771084337349394E-2</v>
      </c>
      <c r="Y295" s="6">
        <f>IFERROR(VALUE(SUBSTITUTE(SUBSTITUTE(SalesData[[#This Row],[Sales]],"$",""),",",""))/SalesData[[#This Row],[Quantity]],0)</f>
        <v>22.133333333333336</v>
      </c>
      <c r="Z295">
        <f>YEAR(SalesData[[#This Row],[Order Date]])</f>
        <v>2023</v>
      </c>
      <c r="AA295" t="str">
        <f>TEXT(SalesData[[#This Row],[Order Date]],"mmm")</f>
        <v>Jun</v>
      </c>
      <c r="AB29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96" spans="1:28">
      <c r="A296">
        <v>530</v>
      </c>
      <c r="B296" t="s">
        <v>1830</v>
      </c>
      <c r="C296" s="1">
        <v>45098</v>
      </c>
      <c r="D296" s="1">
        <v>45101</v>
      </c>
      <c r="E296" t="s">
        <v>36</v>
      </c>
      <c r="F296" t="s">
        <v>1831</v>
      </c>
      <c r="G296" t="s">
        <v>195</v>
      </c>
      <c r="H296" t="s">
        <v>39</v>
      </c>
      <c r="I296" t="s">
        <v>26</v>
      </c>
      <c r="J296" t="s">
        <v>237</v>
      </c>
      <c r="K296" t="s">
        <v>237</v>
      </c>
      <c r="L296">
        <v>93029</v>
      </c>
      <c r="M296" t="s">
        <v>41</v>
      </c>
      <c r="N296" t="s">
        <v>1832</v>
      </c>
      <c r="O296" t="s">
        <v>64</v>
      </c>
      <c r="P296" t="s">
        <v>405</v>
      </c>
      <c r="Q296" t="s">
        <v>1459</v>
      </c>
      <c r="R296" t="s">
        <v>1833</v>
      </c>
      <c r="S296">
        <v>5</v>
      </c>
      <c r="T296" s="2">
        <v>0.2</v>
      </c>
      <c r="U296" t="s">
        <v>1834</v>
      </c>
      <c r="V296" t="str">
        <f>CHOOSE(MOD(SalesData[[#This Row],[Row ID]]-1,8)+1,"Aarav Sharma","Ananya Singh","Rohan Verma","Priya Gupta","Arjun Mehta","Neha Kapoor","Rahul Joshi","Sneha Patel")</f>
        <v>Ananya Singh</v>
      </c>
      <c r="W29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96" s="8">
        <f>IFERROR(VALUE(SUBSTITUTE(SUBSTITUTE(SalesData[[#This Row],[Profit]],"$",""),",",""))/VALUE(SUBSTITUTE(SUBSTITUTE(SalesData[[#This Row],[Sales]],"$",""),",","")),0)</f>
        <v>0.11894934333958725</v>
      </c>
      <c r="Y296" s="6">
        <f>IFERROR(VALUE(SUBSTITUTE(SUBSTITUTE(SalesData[[#This Row],[Sales]],"$",""),",",""))/SalesData[[#This Row],[Quantity]],0)</f>
        <v>5.33</v>
      </c>
      <c r="Z296">
        <f>YEAR(SalesData[[#This Row],[Order Date]])</f>
        <v>2023</v>
      </c>
      <c r="AA296" t="str">
        <f>TEXT(SalesData[[#This Row],[Order Date]],"mmm")</f>
        <v>Jun</v>
      </c>
      <c r="AB29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297" spans="1:28">
      <c r="A297">
        <v>454</v>
      </c>
      <c r="B297" t="s">
        <v>1835</v>
      </c>
      <c r="C297" s="1">
        <v>45098</v>
      </c>
      <c r="D297" s="1">
        <v>45102</v>
      </c>
      <c r="E297" t="s">
        <v>22</v>
      </c>
      <c r="F297" t="s">
        <v>1836</v>
      </c>
      <c r="G297" t="s">
        <v>425</v>
      </c>
      <c r="H297" t="s">
        <v>25</v>
      </c>
      <c r="I297" t="s">
        <v>26</v>
      </c>
      <c r="J297" t="s">
        <v>173</v>
      </c>
      <c r="K297" t="s">
        <v>173</v>
      </c>
      <c r="L297">
        <v>17446</v>
      </c>
      <c r="M297" t="s">
        <v>73</v>
      </c>
      <c r="N297" t="s">
        <v>1837</v>
      </c>
      <c r="O297" t="s">
        <v>43</v>
      </c>
      <c r="P297" t="s">
        <v>214</v>
      </c>
      <c r="Q297" t="s">
        <v>473</v>
      </c>
      <c r="R297" t="s">
        <v>1838</v>
      </c>
      <c r="S297">
        <v>1</v>
      </c>
      <c r="T297" s="2">
        <v>0.15</v>
      </c>
      <c r="U297" t="s">
        <v>1839</v>
      </c>
      <c r="V297" t="str">
        <f>CHOOSE(MOD(SalesData[[#This Row],[Row ID]]-1,8)+1,"Aarav Sharma","Ananya Singh","Rohan Verma","Priya Gupta","Arjun Mehta","Neha Kapoor","Rahul Joshi","Sneha Patel")</f>
        <v>Neha Kapoor</v>
      </c>
      <c r="W29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97" s="8">
        <f>IFERROR(VALUE(SUBSTITUTE(SUBSTITUTE(SalesData[[#This Row],[Profit]],"$",""),",",""))/VALUE(SUBSTITUTE(SUBSTITUTE(SalesData[[#This Row],[Sales]],"$",""),",","")),0)</f>
        <v>0.16312733635568283</v>
      </c>
      <c r="Y297" s="6">
        <f>IFERROR(VALUE(SUBSTITUTE(SUBSTITUTE(SalesData[[#This Row],[Sales]],"$",""),",",""))/SalesData[[#This Row],[Quantity]],0)</f>
        <v>125.73</v>
      </c>
      <c r="Z297">
        <f>YEAR(SalesData[[#This Row],[Order Date]])</f>
        <v>2023</v>
      </c>
      <c r="AA297" t="str">
        <f>TEXT(SalesData[[#This Row],[Order Date]],"mmm")</f>
        <v>Jun</v>
      </c>
      <c r="AB29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298" spans="1:28">
      <c r="A298">
        <v>555</v>
      </c>
      <c r="B298" t="s">
        <v>1840</v>
      </c>
      <c r="C298" s="1">
        <v>45107</v>
      </c>
      <c r="D298" s="1">
        <v>45111</v>
      </c>
      <c r="E298" t="s">
        <v>36</v>
      </c>
      <c r="F298" t="s">
        <v>1841</v>
      </c>
      <c r="G298" t="s">
        <v>471</v>
      </c>
      <c r="H298" t="s">
        <v>25</v>
      </c>
      <c r="I298" t="s">
        <v>26</v>
      </c>
      <c r="J298" t="s">
        <v>229</v>
      </c>
      <c r="K298" t="s">
        <v>229</v>
      </c>
      <c r="L298">
        <v>59262</v>
      </c>
      <c r="M298" t="s">
        <v>73</v>
      </c>
      <c r="N298" t="s">
        <v>74</v>
      </c>
      <c r="O298" t="s">
        <v>64</v>
      </c>
      <c r="P298" t="s">
        <v>405</v>
      </c>
      <c r="Q298" t="s">
        <v>1136</v>
      </c>
      <c r="R298" t="s">
        <v>1842</v>
      </c>
      <c r="S298">
        <v>3</v>
      </c>
      <c r="T298" s="2">
        <v>0.4</v>
      </c>
      <c r="U298" t="s">
        <v>1843</v>
      </c>
      <c r="V298" t="str">
        <f>CHOOSE(MOD(SalesData[[#This Row],[Row ID]]-1,8)+1,"Aarav Sharma","Ananya Singh","Rohan Verma","Priya Gupta","Arjun Mehta","Neha Kapoor","Rahul Joshi","Sneha Patel")</f>
        <v>Rohan Verma</v>
      </c>
      <c r="W29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298" s="8">
        <f>IFERROR(VALUE(SUBSTITUTE(SUBSTITUTE(SalesData[[#This Row],[Profit]],"$",""),",",""))/VALUE(SUBSTITUTE(SUBSTITUTE(SalesData[[#This Row],[Sales]],"$",""),",","")),0)</f>
        <v>-3.63079615048119E-2</v>
      </c>
      <c r="Y298" s="6">
        <f>IFERROR(VALUE(SUBSTITUTE(SUBSTITUTE(SalesData[[#This Row],[Sales]],"$",""),",",""))/SalesData[[#This Row],[Quantity]],0)</f>
        <v>15.24</v>
      </c>
      <c r="Z298">
        <f>YEAR(SalesData[[#This Row],[Order Date]])</f>
        <v>2023</v>
      </c>
      <c r="AA298" t="str">
        <f>TEXT(SalesData[[#This Row],[Order Date]],"mmm")</f>
        <v>Jun</v>
      </c>
      <c r="AB29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299" spans="1:28">
      <c r="A299">
        <v>574</v>
      </c>
      <c r="B299" t="s">
        <v>1844</v>
      </c>
      <c r="C299" s="1">
        <v>45107</v>
      </c>
      <c r="D299" s="1">
        <v>45111</v>
      </c>
      <c r="E299" t="s">
        <v>49</v>
      </c>
      <c r="F299" t="s">
        <v>1845</v>
      </c>
      <c r="G299" t="s">
        <v>1253</v>
      </c>
      <c r="H299" t="s">
        <v>25</v>
      </c>
      <c r="I299" t="s">
        <v>26</v>
      </c>
      <c r="J299" t="s">
        <v>212</v>
      </c>
      <c r="K299" t="s">
        <v>212</v>
      </c>
      <c r="L299">
        <v>70695</v>
      </c>
      <c r="M299" t="s">
        <v>28</v>
      </c>
      <c r="N299" t="s">
        <v>1846</v>
      </c>
      <c r="O299" t="s">
        <v>43</v>
      </c>
      <c r="P299" t="s">
        <v>166</v>
      </c>
      <c r="Q299" t="s">
        <v>1847</v>
      </c>
      <c r="R299" t="s">
        <v>923</v>
      </c>
      <c r="S299">
        <v>6</v>
      </c>
      <c r="T299" s="2">
        <v>0.3</v>
      </c>
      <c r="U299" t="s">
        <v>942</v>
      </c>
      <c r="V299" t="str">
        <f>CHOOSE(MOD(SalesData[[#This Row],[Row ID]]-1,8)+1,"Aarav Sharma","Ananya Singh","Rohan Verma","Priya Gupta","Arjun Mehta","Neha Kapoor","Rahul Joshi","Sneha Patel")</f>
        <v>Neha Kapoor</v>
      </c>
      <c r="W29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299" s="8">
        <f>IFERROR(VALUE(SUBSTITUTE(SUBSTITUTE(SalesData[[#This Row],[Profit]],"$",""),",",""))/VALUE(SUBSTITUTE(SUBSTITUTE(SalesData[[#This Row],[Sales]],"$",""),",","")),0)</f>
        <v>-8.5725792532075247E-3</v>
      </c>
      <c r="Y299" s="6">
        <f>IFERROR(VALUE(SUBSTITUTE(SUBSTITUTE(SalesData[[#This Row],[Sales]],"$",""),",",""))/SalesData[[#This Row],[Quantity]],0)</f>
        <v>28.968333333333334</v>
      </c>
      <c r="Z299">
        <f>YEAR(SalesData[[#This Row],[Order Date]])</f>
        <v>2023</v>
      </c>
      <c r="AA299" t="str">
        <f>TEXT(SalesData[[#This Row],[Order Date]],"mmm")</f>
        <v>Jun</v>
      </c>
      <c r="AB29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00" spans="1:28">
      <c r="A300">
        <v>349</v>
      </c>
      <c r="B300" t="s">
        <v>1848</v>
      </c>
      <c r="C300" s="1">
        <v>45108</v>
      </c>
      <c r="D300" s="1">
        <v>45111</v>
      </c>
      <c r="E300" t="s">
        <v>36</v>
      </c>
      <c r="F300" t="s">
        <v>1849</v>
      </c>
      <c r="G300" t="s">
        <v>1850</v>
      </c>
      <c r="H300" t="s">
        <v>60</v>
      </c>
      <c r="I300" t="s">
        <v>26</v>
      </c>
      <c r="J300" t="s">
        <v>641</v>
      </c>
      <c r="K300" t="s">
        <v>641</v>
      </c>
      <c r="L300">
        <v>34014</v>
      </c>
      <c r="M300" t="s">
        <v>62</v>
      </c>
      <c r="N300" t="s">
        <v>1851</v>
      </c>
      <c r="O300" t="s">
        <v>43</v>
      </c>
      <c r="P300" t="s">
        <v>83</v>
      </c>
      <c r="Q300" t="s">
        <v>1284</v>
      </c>
      <c r="R300" t="s">
        <v>1852</v>
      </c>
      <c r="S300">
        <v>3</v>
      </c>
      <c r="T300" s="2">
        <v>0.05</v>
      </c>
      <c r="U300" t="s">
        <v>1853</v>
      </c>
      <c r="V300" t="str">
        <f>CHOOSE(MOD(SalesData[[#This Row],[Row ID]]-1,8)+1,"Aarav Sharma","Ananya Singh","Rohan Verma","Priya Gupta","Arjun Mehta","Neha Kapoor","Rahul Joshi","Sneha Patel")</f>
        <v>Arjun Mehta</v>
      </c>
      <c r="W30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00" s="8">
        <f>IFERROR(VALUE(SUBSTITUTE(SUBSTITUTE(SalesData[[#This Row],[Profit]],"$",""),",",""))/VALUE(SUBSTITUTE(SUBSTITUTE(SalesData[[#This Row],[Sales]],"$",""),",","")),0)</f>
        <v>0.17162669748627563</v>
      </c>
      <c r="Y300" s="6">
        <f>IFERROR(VALUE(SUBSTITUTE(SUBSTITUTE(SalesData[[#This Row],[Sales]],"$",""),",",""))/SalesData[[#This Row],[Quantity]],0)</f>
        <v>57.683333333333337</v>
      </c>
      <c r="Z300">
        <f>YEAR(SalesData[[#This Row],[Order Date]])</f>
        <v>2023</v>
      </c>
      <c r="AA300" t="str">
        <f>TEXT(SalesData[[#This Row],[Order Date]],"mmm")</f>
        <v>Jul</v>
      </c>
      <c r="AB30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01" spans="1:28">
      <c r="A301">
        <v>16</v>
      </c>
      <c r="B301" t="s">
        <v>1854</v>
      </c>
      <c r="C301" s="1">
        <v>45108</v>
      </c>
      <c r="D301" s="1">
        <v>45112</v>
      </c>
      <c r="E301" t="s">
        <v>36</v>
      </c>
      <c r="F301" t="s">
        <v>1855</v>
      </c>
      <c r="G301" t="s">
        <v>945</v>
      </c>
      <c r="H301" t="s">
        <v>25</v>
      </c>
      <c r="I301" t="s">
        <v>26</v>
      </c>
      <c r="J301" t="s">
        <v>96</v>
      </c>
      <c r="K301" t="s">
        <v>96</v>
      </c>
      <c r="L301">
        <v>75726</v>
      </c>
      <c r="M301" t="s">
        <v>28</v>
      </c>
      <c r="N301" t="s">
        <v>1856</v>
      </c>
      <c r="O301" t="s">
        <v>30</v>
      </c>
      <c r="P301" t="s">
        <v>120</v>
      </c>
      <c r="Q301" t="s">
        <v>1099</v>
      </c>
      <c r="R301" t="s">
        <v>1857</v>
      </c>
      <c r="S301">
        <v>5</v>
      </c>
      <c r="T301" s="2">
        <v>0.4</v>
      </c>
      <c r="U301" t="s">
        <v>1858</v>
      </c>
      <c r="V301" t="str">
        <f>CHOOSE(MOD(SalesData[[#This Row],[Row ID]]-1,8)+1,"Aarav Sharma","Ananya Singh","Rohan Verma","Priya Gupta","Arjun Mehta","Neha Kapoor","Rahul Joshi","Sneha Patel")</f>
        <v>Sneha Patel</v>
      </c>
      <c r="W30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01" s="8">
        <f>IFERROR(VALUE(SUBSTITUTE(SUBSTITUTE(SalesData[[#This Row],[Profit]],"$",""),",",""))/VALUE(SUBSTITUTE(SUBSTITUTE(SalesData[[#This Row],[Sales]],"$",""),",","")),0)</f>
        <v>-0.12369732668781151</v>
      </c>
      <c r="Y301" s="6">
        <f>IFERROR(VALUE(SUBSTITUTE(SUBSTITUTE(SalesData[[#This Row],[Sales]],"$",""),",",""))/SalesData[[#This Row],[Quantity]],0)</f>
        <v>8.8279999999999994</v>
      </c>
      <c r="Z301">
        <f>YEAR(SalesData[[#This Row],[Order Date]])</f>
        <v>2023</v>
      </c>
      <c r="AA301" t="str">
        <f>TEXT(SalesData[[#This Row],[Order Date]],"mmm")</f>
        <v>Jul</v>
      </c>
      <c r="AB30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02" spans="1:28">
      <c r="A302">
        <v>245</v>
      </c>
      <c r="B302" t="s">
        <v>1859</v>
      </c>
      <c r="C302" s="1">
        <v>45110</v>
      </c>
      <c r="D302" s="1">
        <v>45112</v>
      </c>
      <c r="E302" t="s">
        <v>49</v>
      </c>
      <c r="F302" t="s">
        <v>1860</v>
      </c>
      <c r="G302" t="s">
        <v>1625</v>
      </c>
      <c r="H302" t="s">
        <v>25</v>
      </c>
      <c r="I302" t="s">
        <v>26</v>
      </c>
      <c r="J302" t="s">
        <v>173</v>
      </c>
      <c r="K302" t="s">
        <v>173</v>
      </c>
      <c r="L302">
        <v>16078</v>
      </c>
      <c r="M302" t="s">
        <v>73</v>
      </c>
      <c r="N302" t="s">
        <v>1861</v>
      </c>
      <c r="O302" t="s">
        <v>43</v>
      </c>
      <c r="P302" t="s">
        <v>44</v>
      </c>
      <c r="Q302" t="s">
        <v>1862</v>
      </c>
      <c r="R302" t="s">
        <v>1863</v>
      </c>
      <c r="S302">
        <v>3</v>
      </c>
      <c r="T302" s="2">
        <v>0.2</v>
      </c>
      <c r="U302" t="s">
        <v>1864</v>
      </c>
      <c r="V302" t="str">
        <f>CHOOSE(MOD(SalesData[[#This Row],[Row ID]]-1,8)+1,"Aarav Sharma","Ananya Singh","Rohan Verma","Priya Gupta","Arjun Mehta","Neha Kapoor","Rahul Joshi","Sneha Patel")</f>
        <v>Arjun Mehta</v>
      </c>
      <c r="W30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02" s="8">
        <f>IFERROR(VALUE(SUBSTITUTE(SUBSTITUTE(SalesData[[#This Row],[Profit]],"$",""),",",""))/VALUE(SUBSTITUTE(SUBSTITUTE(SalesData[[#This Row],[Sales]],"$",""),",","")),0)</f>
        <v>5.2153692835787843E-2</v>
      </c>
      <c r="Y302" s="6">
        <f>IFERROR(VALUE(SUBSTITUTE(SUBSTITUTE(SalesData[[#This Row],[Sales]],"$",""),",",""))/SalesData[[#This Row],[Quantity]],0)</f>
        <v>30.103333333333335</v>
      </c>
      <c r="Z302">
        <f>YEAR(SalesData[[#This Row],[Order Date]])</f>
        <v>2023</v>
      </c>
      <c r="AA302" t="str">
        <f>TEXT(SalesData[[#This Row],[Order Date]],"mmm")</f>
        <v>Jul</v>
      </c>
      <c r="AB30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03" spans="1:28">
      <c r="A303">
        <v>309</v>
      </c>
      <c r="B303" t="s">
        <v>1865</v>
      </c>
      <c r="C303" s="1">
        <v>45115</v>
      </c>
      <c r="D303" s="1">
        <v>45117</v>
      </c>
      <c r="E303" t="s">
        <v>36</v>
      </c>
      <c r="F303" t="s">
        <v>1866</v>
      </c>
      <c r="G303" t="s">
        <v>236</v>
      </c>
      <c r="H303" t="s">
        <v>25</v>
      </c>
      <c r="I303" t="s">
        <v>26</v>
      </c>
      <c r="J303" t="s">
        <v>52</v>
      </c>
      <c r="K303" t="s">
        <v>52</v>
      </c>
      <c r="L303">
        <v>70892</v>
      </c>
      <c r="M303" t="s">
        <v>41</v>
      </c>
      <c r="N303" t="s">
        <v>1867</v>
      </c>
      <c r="O303" t="s">
        <v>43</v>
      </c>
      <c r="P303" t="s">
        <v>128</v>
      </c>
      <c r="Q303" t="s">
        <v>175</v>
      </c>
      <c r="R303" t="s">
        <v>1868</v>
      </c>
      <c r="S303">
        <v>2</v>
      </c>
      <c r="T303" s="2">
        <v>0.4</v>
      </c>
      <c r="U303" t="s">
        <v>1869</v>
      </c>
      <c r="V303" t="str">
        <f>CHOOSE(MOD(SalesData[[#This Row],[Row ID]]-1,8)+1,"Aarav Sharma","Ananya Singh","Rohan Verma","Priya Gupta","Arjun Mehta","Neha Kapoor","Rahul Joshi","Sneha Patel")</f>
        <v>Arjun Mehta</v>
      </c>
      <c r="W30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03" s="8">
        <f>IFERROR(VALUE(SUBSTITUTE(SUBSTITUTE(SalesData[[#This Row],[Profit]],"$",""),",",""))/VALUE(SUBSTITUTE(SUBSTITUTE(SalesData[[#This Row],[Sales]],"$",""),",","")),0)</f>
        <v>-5.0426399703374127E-2</v>
      </c>
      <c r="Y303" s="6">
        <f>IFERROR(VALUE(SUBSTITUTE(SUBSTITUTE(SalesData[[#This Row],[Sales]],"$",""),",",""))/SalesData[[#This Row],[Quantity]],0)</f>
        <v>13.484999999999999</v>
      </c>
      <c r="Z303">
        <f>YEAR(SalesData[[#This Row],[Order Date]])</f>
        <v>2023</v>
      </c>
      <c r="AA303" t="str">
        <f>TEXT(SalesData[[#This Row],[Order Date]],"mmm")</f>
        <v>Jul</v>
      </c>
      <c r="AB30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04" spans="1:28">
      <c r="A304">
        <v>264</v>
      </c>
      <c r="B304" t="s">
        <v>1870</v>
      </c>
      <c r="C304" s="1">
        <v>45115</v>
      </c>
      <c r="D304" s="1">
        <v>45117</v>
      </c>
      <c r="E304" t="s">
        <v>49</v>
      </c>
      <c r="F304" t="s">
        <v>1871</v>
      </c>
      <c r="G304" t="s">
        <v>882</v>
      </c>
      <c r="H304" t="s">
        <v>25</v>
      </c>
      <c r="I304" t="s">
        <v>26</v>
      </c>
      <c r="J304" t="s">
        <v>157</v>
      </c>
      <c r="K304" t="s">
        <v>157</v>
      </c>
      <c r="L304">
        <v>61033</v>
      </c>
      <c r="M304" t="s">
        <v>62</v>
      </c>
      <c r="N304" t="s">
        <v>933</v>
      </c>
      <c r="O304" t="s">
        <v>30</v>
      </c>
      <c r="P304" t="s">
        <v>197</v>
      </c>
      <c r="Q304" t="s">
        <v>1872</v>
      </c>
      <c r="R304" t="s">
        <v>1873</v>
      </c>
      <c r="S304">
        <v>2</v>
      </c>
      <c r="T304" s="2">
        <v>0.05</v>
      </c>
      <c r="U304" t="s">
        <v>1874</v>
      </c>
      <c r="V304" t="str">
        <f>CHOOSE(MOD(SalesData[[#This Row],[Row ID]]-1,8)+1,"Aarav Sharma","Ananya Singh","Rohan Verma","Priya Gupta","Arjun Mehta","Neha Kapoor","Rahul Joshi","Sneha Patel")</f>
        <v>Sneha Patel</v>
      </c>
      <c r="W30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04" s="8">
        <f>IFERROR(VALUE(SUBSTITUTE(SUBSTITUTE(SalesData[[#This Row],[Profit]],"$",""),",",""))/VALUE(SUBSTITUTE(SUBSTITUTE(SalesData[[#This Row],[Sales]],"$",""),",","")),0)</f>
        <v>6.5789473684210523E-2</v>
      </c>
      <c r="Y304" s="6">
        <f>IFERROR(VALUE(SUBSTITUTE(SUBSTITUTE(SalesData[[#This Row],[Sales]],"$",""),",",""))/SalesData[[#This Row],[Quantity]],0)</f>
        <v>57.76</v>
      </c>
      <c r="Z304">
        <f>YEAR(SalesData[[#This Row],[Order Date]])</f>
        <v>2023</v>
      </c>
      <c r="AA304" t="str">
        <f>TEXT(SalesData[[#This Row],[Order Date]],"mmm")</f>
        <v>Jul</v>
      </c>
      <c r="AB30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05" spans="1:28">
      <c r="A305">
        <v>103</v>
      </c>
      <c r="B305" t="s">
        <v>1875</v>
      </c>
      <c r="C305" s="1">
        <v>45115</v>
      </c>
      <c r="D305" s="1">
        <v>45120</v>
      </c>
      <c r="E305" t="s">
        <v>49</v>
      </c>
      <c r="F305" t="s">
        <v>1876</v>
      </c>
      <c r="G305" t="s">
        <v>518</v>
      </c>
      <c r="H305" t="s">
        <v>39</v>
      </c>
      <c r="I305" t="s">
        <v>26</v>
      </c>
      <c r="J305" t="s">
        <v>173</v>
      </c>
      <c r="K305" t="s">
        <v>173</v>
      </c>
      <c r="L305">
        <v>78011</v>
      </c>
      <c r="M305" t="s">
        <v>73</v>
      </c>
      <c r="N305" t="s">
        <v>1877</v>
      </c>
      <c r="O305" t="s">
        <v>30</v>
      </c>
      <c r="P305" t="s">
        <v>120</v>
      </c>
      <c r="Q305" t="s">
        <v>1099</v>
      </c>
      <c r="R305" t="s">
        <v>1878</v>
      </c>
      <c r="S305">
        <v>4</v>
      </c>
      <c r="T305" s="2">
        <v>0.15</v>
      </c>
      <c r="U305" t="s">
        <v>1741</v>
      </c>
      <c r="V305" t="str">
        <f>CHOOSE(MOD(SalesData[[#This Row],[Row ID]]-1,8)+1,"Aarav Sharma","Ananya Singh","Rohan Verma","Priya Gupta","Arjun Mehta","Neha Kapoor","Rahul Joshi","Sneha Patel")</f>
        <v>Rahul Joshi</v>
      </c>
      <c r="W30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05" s="8">
        <f>IFERROR(VALUE(SUBSTITUTE(SUBSTITUTE(SalesData[[#This Row],[Profit]],"$",""),",",""))/VALUE(SUBSTITUTE(SUBSTITUTE(SalesData[[#This Row],[Sales]],"$",""),",","")),0)</f>
        <v>4.0557006092254134E-2</v>
      </c>
      <c r="Y305" s="6">
        <f>IFERROR(VALUE(SUBSTITUTE(SUBSTITUTE(SalesData[[#This Row],[Sales]],"$",""),",",""))/SalesData[[#This Row],[Quantity]],0)</f>
        <v>14.362500000000001</v>
      </c>
      <c r="Z305">
        <f>YEAR(SalesData[[#This Row],[Order Date]])</f>
        <v>2023</v>
      </c>
      <c r="AA305" t="str">
        <f>TEXT(SalesData[[#This Row],[Order Date]],"mmm")</f>
        <v>Jul</v>
      </c>
      <c r="AB30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06" spans="1:28">
      <c r="A306">
        <v>283</v>
      </c>
      <c r="B306" t="s">
        <v>1879</v>
      </c>
      <c r="C306" s="1">
        <v>45118</v>
      </c>
      <c r="D306" s="1">
        <v>45121</v>
      </c>
      <c r="E306" t="s">
        <v>382</v>
      </c>
      <c r="F306" t="s">
        <v>1880</v>
      </c>
      <c r="G306" t="s">
        <v>1166</v>
      </c>
      <c r="H306" t="s">
        <v>39</v>
      </c>
      <c r="I306" t="s">
        <v>26</v>
      </c>
      <c r="J306" t="s">
        <v>438</v>
      </c>
      <c r="K306" t="s">
        <v>438</v>
      </c>
      <c r="L306">
        <v>62151</v>
      </c>
      <c r="M306" t="s">
        <v>28</v>
      </c>
      <c r="N306" t="s">
        <v>1881</v>
      </c>
      <c r="O306" t="s">
        <v>43</v>
      </c>
      <c r="P306" t="s">
        <v>214</v>
      </c>
      <c r="Q306" t="s">
        <v>1882</v>
      </c>
      <c r="R306" t="s">
        <v>1883</v>
      </c>
      <c r="S306">
        <v>7</v>
      </c>
      <c r="T306" s="2">
        <v>0</v>
      </c>
      <c r="U306" t="s">
        <v>1884</v>
      </c>
      <c r="V306" t="str">
        <f>CHOOSE(MOD(SalesData[[#This Row],[Row ID]]-1,8)+1,"Aarav Sharma","Ananya Singh","Rohan Verma","Priya Gupta","Arjun Mehta","Neha Kapoor","Rahul Joshi","Sneha Patel")</f>
        <v>Rohan Verma</v>
      </c>
      <c r="W30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06" s="8">
        <f>IFERROR(VALUE(SUBSTITUTE(SUBSTITUTE(SalesData[[#This Row],[Profit]],"$",""),",",""))/VALUE(SUBSTITUTE(SUBSTITUTE(SalesData[[#This Row],[Sales]],"$",""),",","")),0)</f>
        <v>0.22292490118577077</v>
      </c>
      <c r="Y306" s="6">
        <f>IFERROR(VALUE(SUBSTITUTE(SUBSTITUTE(SalesData[[#This Row],[Sales]],"$",""),",",""))/SalesData[[#This Row],[Quantity]],0)</f>
        <v>5.4214285714285717</v>
      </c>
      <c r="Z306">
        <f>YEAR(SalesData[[#This Row],[Order Date]])</f>
        <v>2023</v>
      </c>
      <c r="AA306" t="str">
        <f>TEXT(SalesData[[#This Row],[Order Date]],"mmm")</f>
        <v>Jul</v>
      </c>
      <c r="AB30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07" spans="1:28">
      <c r="A307">
        <v>173</v>
      </c>
      <c r="B307" t="s">
        <v>1885</v>
      </c>
      <c r="C307" s="1">
        <v>45119</v>
      </c>
      <c r="D307" s="1">
        <v>45121</v>
      </c>
      <c r="E307" t="s">
        <v>22</v>
      </c>
      <c r="F307" t="s">
        <v>1886</v>
      </c>
      <c r="G307" t="s">
        <v>329</v>
      </c>
      <c r="H307" t="s">
        <v>39</v>
      </c>
      <c r="I307" t="s">
        <v>26</v>
      </c>
      <c r="J307" t="s">
        <v>157</v>
      </c>
      <c r="K307" t="s">
        <v>157</v>
      </c>
      <c r="L307">
        <v>95179</v>
      </c>
      <c r="M307" t="s">
        <v>62</v>
      </c>
      <c r="N307" t="s">
        <v>1887</v>
      </c>
      <c r="O307" t="s">
        <v>43</v>
      </c>
      <c r="P307" t="s">
        <v>189</v>
      </c>
      <c r="Q307" t="s">
        <v>281</v>
      </c>
      <c r="R307" t="s">
        <v>1888</v>
      </c>
      <c r="S307">
        <v>7</v>
      </c>
      <c r="T307" s="2">
        <v>0.1</v>
      </c>
      <c r="U307" t="s">
        <v>415</v>
      </c>
      <c r="V307" t="str">
        <f>CHOOSE(MOD(SalesData[[#This Row],[Row ID]]-1,8)+1,"Aarav Sharma","Ananya Singh","Rohan Verma","Priya Gupta","Arjun Mehta","Neha Kapoor","Rahul Joshi","Sneha Patel")</f>
        <v>Arjun Mehta</v>
      </c>
      <c r="W30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07" s="8">
        <f>IFERROR(VALUE(SUBSTITUTE(SUBSTITUTE(SalesData[[#This Row],[Profit]],"$",""),",",""))/VALUE(SUBSTITUTE(SUBSTITUTE(SalesData[[#This Row],[Sales]],"$",""),",","")),0)</f>
        <v>0.14851049796636254</v>
      </c>
      <c r="Y307" s="6">
        <f>IFERROR(VALUE(SUBSTITUTE(SUBSTITUTE(SalesData[[#This Row],[Sales]],"$",""),",",""))/SalesData[[#This Row],[Quantity]],0)</f>
        <v>12.995714285714286</v>
      </c>
      <c r="Z307">
        <f>YEAR(SalesData[[#This Row],[Order Date]])</f>
        <v>2023</v>
      </c>
      <c r="AA307" t="str">
        <f>TEXT(SalesData[[#This Row],[Order Date]],"mmm")</f>
        <v>Jul</v>
      </c>
      <c r="AB30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08" spans="1:28">
      <c r="A308">
        <v>322</v>
      </c>
      <c r="B308" t="s">
        <v>1889</v>
      </c>
      <c r="C308" s="1">
        <v>45119</v>
      </c>
      <c r="D308" s="1">
        <v>45122</v>
      </c>
      <c r="E308" t="s">
        <v>36</v>
      </c>
      <c r="F308" t="s">
        <v>1890</v>
      </c>
      <c r="G308" t="s">
        <v>38</v>
      </c>
      <c r="H308" t="s">
        <v>25</v>
      </c>
      <c r="I308" t="s">
        <v>26</v>
      </c>
      <c r="J308" t="s">
        <v>27</v>
      </c>
      <c r="K308" t="s">
        <v>27</v>
      </c>
      <c r="L308">
        <v>80111</v>
      </c>
      <c r="M308" t="s">
        <v>28</v>
      </c>
      <c r="N308" t="s">
        <v>1891</v>
      </c>
      <c r="O308" t="s">
        <v>43</v>
      </c>
      <c r="P308" t="s">
        <v>83</v>
      </c>
      <c r="Q308" t="s">
        <v>427</v>
      </c>
      <c r="R308" t="s">
        <v>1892</v>
      </c>
      <c r="S308">
        <v>6</v>
      </c>
      <c r="T308" s="2">
        <v>0.15</v>
      </c>
      <c r="U308" t="s">
        <v>161</v>
      </c>
      <c r="V308" t="str">
        <f>CHOOSE(MOD(SalesData[[#This Row],[Row ID]]-1,8)+1,"Aarav Sharma","Ananya Singh","Rohan Verma","Priya Gupta","Arjun Mehta","Neha Kapoor","Rahul Joshi","Sneha Patel")</f>
        <v>Ananya Singh</v>
      </c>
      <c r="W30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08" s="8">
        <f>IFERROR(VALUE(SUBSTITUTE(SUBSTITUTE(SalesData[[#This Row],[Profit]],"$",""),",",""))/VALUE(SUBSTITUTE(SUBSTITUTE(SalesData[[#This Row],[Sales]],"$",""),",","")),0)</f>
        <v>0.11863636363636364</v>
      </c>
      <c r="Y308" s="6">
        <f>IFERROR(VALUE(SUBSTITUTE(SUBSTITUTE(SalesData[[#This Row],[Sales]],"$",""),",",""))/SalesData[[#This Row],[Quantity]],0)</f>
        <v>3.6666666666666665</v>
      </c>
      <c r="Z308">
        <f>YEAR(SalesData[[#This Row],[Order Date]])</f>
        <v>2023</v>
      </c>
      <c r="AA308" t="str">
        <f>TEXT(SalesData[[#This Row],[Order Date]],"mmm")</f>
        <v>Jul</v>
      </c>
      <c r="AB30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09" spans="1:28">
      <c r="A309">
        <v>588</v>
      </c>
      <c r="B309" t="s">
        <v>1893</v>
      </c>
      <c r="C309" s="1">
        <v>45120</v>
      </c>
      <c r="D309" s="1">
        <v>45123</v>
      </c>
      <c r="E309" t="s">
        <v>49</v>
      </c>
      <c r="F309" t="s">
        <v>1894</v>
      </c>
      <c r="G309" t="s">
        <v>1076</v>
      </c>
      <c r="H309" t="s">
        <v>60</v>
      </c>
      <c r="I309" t="s">
        <v>26</v>
      </c>
      <c r="J309" t="s">
        <v>72</v>
      </c>
      <c r="K309" t="s">
        <v>72</v>
      </c>
      <c r="L309">
        <v>64068</v>
      </c>
      <c r="M309" t="s">
        <v>73</v>
      </c>
      <c r="N309" t="s">
        <v>1895</v>
      </c>
      <c r="O309" t="s">
        <v>30</v>
      </c>
      <c r="P309" t="s">
        <v>197</v>
      </c>
      <c r="Q309" t="s">
        <v>1896</v>
      </c>
      <c r="R309" t="s">
        <v>1897</v>
      </c>
      <c r="S309">
        <v>1</v>
      </c>
      <c r="T309" s="2">
        <v>0.5</v>
      </c>
      <c r="U309" t="s">
        <v>1898</v>
      </c>
      <c r="V309" t="str">
        <f>CHOOSE(MOD(SalesData[[#This Row],[Row ID]]-1,8)+1,"Aarav Sharma","Ananya Singh","Rohan Verma","Priya Gupta","Arjun Mehta","Neha Kapoor","Rahul Joshi","Sneha Patel")</f>
        <v>Priya Gupta</v>
      </c>
      <c r="W30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09" s="8">
        <f>IFERROR(VALUE(SUBSTITUTE(SUBSTITUTE(SalesData[[#This Row],[Profit]],"$",""),",",""))/VALUE(SUBSTITUTE(SUBSTITUTE(SalesData[[#This Row],[Sales]],"$",""),",","")),0)</f>
        <v>-0.17583333333333331</v>
      </c>
      <c r="Y309" s="6">
        <f>IFERROR(VALUE(SUBSTITUTE(SUBSTITUTE(SalesData[[#This Row],[Sales]],"$",""),",",""))/SalesData[[#This Row],[Quantity]],0)</f>
        <v>12</v>
      </c>
      <c r="Z309">
        <f>YEAR(SalesData[[#This Row],[Order Date]])</f>
        <v>2023</v>
      </c>
      <c r="AA309" t="str">
        <f>TEXT(SalesData[[#This Row],[Order Date]],"mmm")</f>
        <v>Jul</v>
      </c>
      <c r="AB30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10" spans="1:28">
      <c r="A310">
        <v>338</v>
      </c>
      <c r="B310" t="s">
        <v>1899</v>
      </c>
      <c r="C310" s="1">
        <v>45121</v>
      </c>
      <c r="D310" s="1">
        <v>45124</v>
      </c>
      <c r="E310" t="s">
        <v>49</v>
      </c>
      <c r="F310" t="s">
        <v>1900</v>
      </c>
      <c r="G310" t="s">
        <v>601</v>
      </c>
      <c r="H310" t="s">
        <v>39</v>
      </c>
      <c r="I310" t="s">
        <v>26</v>
      </c>
      <c r="J310" t="s">
        <v>363</v>
      </c>
      <c r="K310" t="s">
        <v>363</v>
      </c>
      <c r="L310">
        <v>16997</v>
      </c>
      <c r="M310" t="s">
        <v>62</v>
      </c>
      <c r="N310" t="s">
        <v>1901</v>
      </c>
      <c r="O310" t="s">
        <v>64</v>
      </c>
      <c r="P310" t="s">
        <v>65</v>
      </c>
      <c r="Q310" t="s">
        <v>1902</v>
      </c>
      <c r="R310" t="s">
        <v>1903</v>
      </c>
      <c r="S310">
        <v>4</v>
      </c>
      <c r="T310" s="2">
        <v>0.4</v>
      </c>
      <c r="U310" t="s">
        <v>1904</v>
      </c>
      <c r="V310" t="str">
        <f>CHOOSE(MOD(SalesData[[#This Row],[Row ID]]-1,8)+1,"Aarav Sharma","Ananya Singh","Rohan Verma","Priya Gupta","Arjun Mehta","Neha Kapoor","Rahul Joshi","Sneha Patel")</f>
        <v>Ananya Singh</v>
      </c>
      <c r="W31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10" s="8">
        <f>IFERROR(VALUE(SUBSTITUTE(SUBSTITUTE(SalesData[[#This Row],[Profit]],"$",""),",",""))/VALUE(SUBSTITUTE(SUBSTITUTE(SalesData[[#This Row],[Sales]],"$",""),",","")),0)</f>
        <v>-2.506012506012506E-2</v>
      </c>
      <c r="Y310" s="6">
        <f>IFERROR(VALUE(SUBSTITUTE(SUBSTITUTE(SalesData[[#This Row],[Sales]],"$",""),",",""))/SalesData[[#This Row],[Quantity]],0)</f>
        <v>51.975000000000001</v>
      </c>
      <c r="Z310">
        <f>YEAR(SalesData[[#This Row],[Order Date]])</f>
        <v>2023</v>
      </c>
      <c r="AA310" t="str">
        <f>TEXT(SalesData[[#This Row],[Order Date]],"mmm")</f>
        <v>Jul</v>
      </c>
      <c r="AB31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11" spans="1:28">
      <c r="A311">
        <v>600</v>
      </c>
      <c r="B311" t="s">
        <v>1905</v>
      </c>
      <c r="C311" s="1">
        <v>45129</v>
      </c>
      <c r="D311" s="1">
        <v>45132</v>
      </c>
      <c r="E311" t="s">
        <v>382</v>
      </c>
      <c r="F311" t="s">
        <v>1906</v>
      </c>
      <c r="G311" t="s">
        <v>322</v>
      </c>
      <c r="H311" t="s">
        <v>25</v>
      </c>
      <c r="I311" t="s">
        <v>26</v>
      </c>
      <c r="J311" t="s">
        <v>301</v>
      </c>
      <c r="K311" t="s">
        <v>301</v>
      </c>
      <c r="L311">
        <v>20681</v>
      </c>
      <c r="M311" t="s">
        <v>73</v>
      </c>
      <c r="N311" t="s">
        <v>1907</v>
      </c>
      <c r="O311" t="s">
        <v>43</v>
      </c>
      <c r="P311" t="s">
        <v>166</v>
      </c>
      <c r="Q311" t="s">
        <v>378</v>
      </c>
      <c r="R311" t="s">
        <v>1908</v>
      </c>
      <c r="S311">
        <v>1</v>
      </c>
      <c r="T311" s="2">
        <v>0.2</v>
      </c>
      <c r="U311" t="s">
        <v>1909</v>
      </c>
      <c r="V311" t="str">
        <f>CHOOSE(MOD(SalesData[[#This Row],[Row ID]]-1,8)+1,"Aarav Sharma","Ananya Singh","Rohan Verma","Priya Gupta","Arjun Mehta","Neha Kapoor","Rahul Joshi","Sneha Patel")</f>
        <v>Sneha Patel</v>
      </c>
      <c r="W31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11" s="8">
        <f>IFERROR(VALUE(SUBSTITUTE(SUBSTITUTE(SalesData[[#This Row],[Profit]],"$",""),",",""))/VALUE(SUBSTITUTE(SUBSTITUTE(SalesData[[#This Row],[Sales]],"$",""),",","")),0)</f>
        <v>0.13299395482023543</v>
      </c>
      <c r="Y311" s="6">
        <f>IFERROR(VALUE(SUBSTITUTE(SUBSTITUTE(SalesData[[#This Row],[Sales]],"$",""),",",""))/SalesData[[#This Row],[Quantity]],0)</f>
        <v>31.43</v>
      </c>
      <c r="Z311">
        <f>YEAR(SalesData[[#This Row],[Order Date]])</f>
        <v>2023</v>
      </c>
      <c r="AA311" t="str">
        <f>TEXT(SalesData[[#This Row],[Order Date]],"mmm")</f>
        <v>Jul</v>
      </c>
      <c r="AB31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12" spans="1:28">
      <c r="A312">
        <v>464</v>
      </c>
      <c r="B312" t="s">
        <v>1910</v>
      </c>
      <c r="C312" s="1">
        <v>45129</v>
      </c>
      <c r="D312" s="1">
        <v>45133</v>
      </c>
      <c r="E312" t="s">
        <v>36</v>
      </c>
      <c r="F312" t="s">
        <v>1911</v>
      </c>
      <c r="G312" t="s">
        <v>1076</v>
      </c>
      <c r="H312" t="s">
        <v>60</v>
      </c>
      <c r="I312" t="s">
        <v>26</v>
      </c>
      <c r="J312" t="s">
        <v>237</v>
      </c>
      <c r="K312" t="s">
        <v>237</v>
      </c>
      <c r="L312">
        <v>92215</v>
      </c>
      <c r="M312" t="s">
        <v>41</v>
      </c>
      <c r="N312" t="s">
        <v>1912</v>
      </c>
      <c r="O312" t="s">
        <v>43</v>
      </c>
      <c r="P312" t="s">
        <v>189</v>
      </c>
      <c r="Q312" t="s">
        <v>281</v>
      </c>
      <c r="R312" t="s">
        <v>1913</v>
      </c>
      <c r="S312">
        <v>2</v>
      </c>
      <c r="T312" s="2">
        <v>0.4</v>
      </c>
      <c r="U312" t="s">
        <v>1914</v>
      </c>
      <c r="V312" t="str">
        <f>CHOOSE(MOD(SalesData[[#This Row],[Row ID]]-1,8)+1,"Aarav Sharma","Ananya Singh","Rohan Verma","Priya Gupta","Arjun Mehta","Neha Kapoor","Rahul Joshi","Sneha Patel")</f>
        <v>Sneha Patel</v>
      </c>
      <c r="W31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12" s="8">
        <f>IFERROR(VALUE(SUBSTITUTE(SUBSTITUTE(SalesData[[#This Row],[Profit]],"$",""),",",""))/VALUE(SUBSTITUTE(SUBSTITUTE(SalesData[[#This Row],[Sales]],"$",""),",","")),0)</f>
        <v>-0.16232464929859719</v>
      </c>
      <c r="Y312" s="6">
        <f>IFERROR(VALUE(SUBSTITUTE(SUBSTITUTE(SalesData[[#This Row],[Sales]],"$",""),",",""))/SalesData[[#This Row],[Quantity]],0)</f>
        <v>19.96</v>
      </c>
      <c r="Z312">
        <f>YEAR(SalesData[[#This Row],[Order Date]])</f>
        <v>2023</v>
      </c>
      <c r="AA312" t="str">
        <f>TEXT(SalesData[[#This Row],[Order Date]],"mmm")</f>
        <v>Jul</v>
      </c>
      <c r="AB31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13" spans="1:28">
      <c r="A313">
        <v>538</v>
      </c>
      <c r="B313" t="s">
        <v>1915</v>
      </c>
      <c r="C313" s="1">
        <v>45132</v>
      </c>
      <c r="D313" s="1">
        <v>45134</v>
      </c>
      <c r="E313" t="s">
        <v>36</v>
      </c>
      <c r="F313" t="s">
        <v>1916</v>
      </c>
      <c r="G313" t="s">
        <v>267</v>
      </c>
      <c r="H313" t="s">
        <v>25</v>
      </c>
      <c r="I313" t="s">
        <v>26</v>
      </c>
      <c r="J313" t="s">
        <v>212</v>
      </c>
      <c r="K313" t="s">
        <v>212</v>
      </c>
      <c r="L313">
        <v>74732</v>
      </c>
      <c r="M313" t="s">
        <v>28</v>
      </c>
      <c r="N313" t="s">
        <v>1917</v>
      </c>
      <c r="O313" t="s">
        <v>64</v>
      </c>
      <c r="P313" t="s">
        <v>105</v>
      </c>
      <c r="Q313" t="s">
        <v>1918</v>
      </c>
      <c r="R313" t="s">
        <v>1919</v>
      </c>
      <c r="S313">
        <v>1</v>
      </c>
      <c r="T313" s="2">
        <v>0.2</v>
      </c>
      <c r="U313" t="s">
        <v>1920</v>
      </c>
      <c r="V313" t="str">
        <f>CHOOSE(MOD(SalesData[[#This Row],[Row ID]]-1,8)+1,"Aarav Sharma","Ananya Singh","Rohan Verma","Priya Gupta","Arjun Mehta","Neha Kapoor","Rahul Joshi","Sneha Patel")</f>
        <v>Ananya Singh</v>
      </c>
      <c r="W31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13" s="8">
        <f>IFERROR(VALUE(SUBSTITUTE(SUBSTITUTE(SalesData[[#This Row],[Profit]],"$",""),",",""))/VALUE(SUBSTITUTE(SUBSTITUTE(SalesData[[#This Row],[Sales]],"$",""),",","")),0)</f>
        <v>0.1746133106286363</v>
      </c>
      <c r="Y313" s="6">
        <f>IFERROR(VALUE(SUBSTITUTE(SUBSTITUTE(SalesData[[#This Row],[Sales]],"$",""),",",""))/SalesData[[#This Row],[Quantity]],0)</f>
        <v>422.82</v>
      </c>
      <c r="Z313">
        <f>YEAR(SalesData[[#This Row],[Order Date]])</f>
        <v>2023</v>
      </c>
      <c r="AA313" t="str">
        <f>TEXT(SalesData[[#This Row],[Order Date]],"mmm")</f>
        <v>Jul</v>
      </c>
      <c r="AB31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14" spans="1:28">
      <c r="A314">
        <v>108</v>
      </c>
      <c r="B314" t="s">
        <v>1921</v>
      </c>
      <c r="C314" s="1">
        <v>45139</v>
      </c>
      <c r="D314" s="1">
        <v>45141</v>
      </c>
      <c r="E314" t="s">
        <v>22</v>
      </c>
      <c r="F314" t="s">
        <v>1922</v>
      </c>
      <c r="G314" t="s">
        <v>794</v>
      </c>
      <c r="H314" t="s">
        <v>39</v>
      </c>
      <c r="I314" t="s">
        <v>26</v>
      </c>
      <c r="J314" t="s">
        <v>245</v>
      </c>
      <c r="K314" t="s">
        <v>245</v>
      </c>
      <c r="L314">
        <v>60200</v>
      </c>
      <c r="M314" t="s">
        <v>41</v>
      </c>
      <c r="N314" t="s">
        <v>1923</v>
      </c>
      <c r="O314" t="s">
        <v>43</v>
      </c>
      <c r="P314" t="s">
        <v>83</v>
      </c>
      <c r="Q314" t="s">
        <v>1082</v>
      </c>
      <c r="R314" t="s">
        <v>1292</v>
      </c>
      <c r="S314">
        <v>6</v>
      </c>
      <c r="T314" s="2">
        <v>0.3</v>
      </c>
      <c r="U314" t="s">
        <v>1924</v>
      </c>
      <c r="V314" t="str">
        <f>CHOOSE(MOD(SalesData[[#This Row],[Row ID]]-1,8)+1,"Aarav Sharma","Ananya Singh","Rohan Verma","Priya Gupta","Arjun Mehta","Neha Kapoor","Rahul Joshi","Sneha Patel")</f>
        <v>Priya Gupta</v>
      </c>
      <c r="W31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14" s="8">
        <f>IFERROR(VALUE(SUBSTITUTE(SUBSTITUTE(SalesData[[#This Row],[Profit]],"$",""),",",""))/VALUE(SUBSTITUTE(SUBSTITUTE(SalesData[[#This Row],[Sales]],"$",""),",","")),0)</f>
        <v>1.6798578581812308E-2</v>
      </c>
      <c r="Y314" s="6">
        <f>IFERROR(VALUE(SUBSTITUTE(SUBSTITUTE(SalesData[[#This Row],[Sales]],"$",""),",",""))/SalesData[[#This Row],[Quantity]],0)</f>
        <v>10.318333333333333</v>
      </c>
      <c r="Z314">
        <f>YEAR(SalesData[[#This Row],[Order Date]])</f>
        <v>2023</v>
      </c>
      <c r="AA314" t="str">
        <f>TEXT(SalesData[[#This Row],[Order Date]],"mmm")</f>
        <v>Aug</v>
      </c>
      <c r="AB31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15" spans="1:28">
      <c r="A315">
        <v>58</v>
      </c>
      <c r="B315" t="s">
        <v>1925</v>
      </c>
      <c r="C315" s="1">
        <v>45140</v>
      </c>
      <c r="D315" s="1">
        <v>45145</v>
      </c>
      <c r="E315" t="s">
        <v>382</v>
      </c>
      <c r="F315" t="s">
        <v>1926</v>
      </c>
      <c r="G315" t="s">
        <v>458</v>
      </c>
      <c r="H315" t="s">
        <v>39</v>
      </c>
      <c r="I315" t="s">
        <v>26</v>
      </c>
      <c r="J315" t="s">
        <v>96</v>
      </c>
      <c r="K315" t="s">
        <v>96</v>
      </c>
      <c r="L315">
        <v>63394</v>
      </c>
      <c r="M315" t="s">
        <v>28</v>
      </c>
      <c r="N315" t="s">
        <v>1927</v>
      </c>
      <c r="O315" t="s">
        <v>30</v>
      </c>
      <c r="P315" t="s">
        <v>197</v>
      </c>
      <c r="Q315" t="s">
        <v>806</v>
      </c>
      <c r="R315" t="s">
        <v>1928</v>
      </c>
      <c r="S315">
        <v>2</v>
      </c>
      <c r="T315" s="2">
        <v>0</v>
      </c>
      <c r="U315" t="s">
        <v>1929</v>
      </c>
      <c r="V315" t="str">
        <f>CHOOSE(MOD(SalesData[[#This Row],[Row ID]]-1,8)+1,"Aarav Sharma","Ananya Singh","Rohan Verma","Priya Gupta","Arjun Mehta","Neha Kapoor","Rahul Joshi","Sneha Patel")</f>
        <v>Ananya Singh</v>
      </c>
      <c r="W31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15" s="8">
        <f>IFERROR(VALUE(SUBSTITUTE(SUBSTITUTE(SalesData[[#This Row],[Profit]],"$",""),",",""))/VALUE(SUBSTITUTE(SUBSTITUTE(SalesData[[#This Row],[Sales]],"$",""),",","")),0)</f>
        <v>0.11442441054091539</v>
      </c>
      <c r="Y315" s="6">
        <f>IFERROR(VALUE(SUBSTITUTE(SUBSTITUTE(SalesData[[#This Row],[Sales]],"$",""),",",""))/SalesData[[#This Row],[Quantity]],0)</f>
        <v>14.42</v>
      </c>
      <c r="Z315">
        <f>YEAR(SalesData[[#This Row],[Order Date]])</f>
        <v>2023</v>
      </c>
      <c r="AA315" t="str">
        <f>TEXT(SalesData[[#This Row],[Order Date]],"mmm")</f>
        <v>Aug</v>
      </c>
      <c r="AB31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16" spans="1:28">
      <c r="A316">
        <v>441</v>
      </c>
      <c r="B316" t="s">
        <v>1930</v>
      </c>
      <c r="C316" s="1">
        <v>45145</v>
      </c>
      <c r="D316" s="1">
        <v>45150</v>
      </c>
      <c r="E316" t="s">
        <v>22</v>
      </c>
      <c r="F316" t="s">
        <v>1931</v>
      </c>
      <c r="G316" t="s">
        <v>1572</v>
      </c>
      <c r="H316" t="s">
        <v>60</v>
      </c>
      <c r="I316" t="s">
        <v>26</v>
      </c>
      <c r="J316" t="s">
        <v>229</v>
      </c>
      <c r="K316" t="s">
        <v>229</v>
      </c>
      <c r="L316">
        <v>91741</v>
      </c>
      <c r="M316" t="s">
        <v>73</v>
      </c>
      <c r="N316" t="s">
        <v>1932</v>
      </c>
      <c r="O316" t="s">
        <v>43</v>
      </c>
      <c r="P316" t="s">
        <v>83</v>
      </c>
      <c r="Q316" t="s">
        <v>1933</v>
      </c>
      <c r="R316" t="s">
        <v>1934</v>
      </c>
      <c r="S316">
        <v>6</v>
      </c>
      <c r="T316" s="2">
        <v>0.2</v>
      </c>
      <c r="U316" t="s">
        <v>1935</v>
      </c>
      <c r="V316" t="str">
        <f>CHOOSE(MOD(SalesData[[#This Row],[Row ID]]-1,8)+1,"Aarav Sharma","Ananya Singh","Rohan Verma","Priya Gupta","Arjun Mehta","Neha Kapoor","Rahul Joshi","Sneha Patel")</f>
        <v>Aarav Sharma</v>
      </c>
      <c r="W31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16" s="8">
        <f>IFERROR(VALUE(SUBSTITUTE(SUBSTITUTE(SalesData[[#This Row],[Profit]],"$",""),",",""))/VALUE(SUBSTITUTE(SUBSTITUTE(SalesData[[#This Row],[Sales]],"$",""),",","")),0)</f>
        <v>3.5084445273863951E-2</v>
      </c>
      <c r="Y316" s="6">
        <f>IFERROR(VALUE(SUBSTITUTE(SUBSTITUTE(SalesData[[#This Row],[Sales]],"$",""),",",""))/SalesData[[#This Row],[Quantity]],0)</f>
        <v>17.861666666666668</v>
      </c>
      <c r="Z316">
        <f>YEAR(SalesData[[#This Row],[Order Date]])</f>
        <v>2023</v>
      </c>
      <c r="AA316" t="str">
        <f>TEXT(SalesData[[#This Row],[Order Date]],"mmm")</f>
        <v>Aug</v>
      </c>
      <c r="AB31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17" spans="1:28">
      <c r="A317">
        <v>185</v>
      </c>
      <c r="B317" t="s">
        <v>1936</v>
      </c>
      <c r="C317" s="1">
        <v>45149</v>
      </c>
      <c r="D317" s="1">
        <v>45153</v>
      </c>
      <c r="E317" t="s">
        <v>22</v>
      </c>
      <c r="F317" t="s">
        <v>1937</v>
      </c>
      <c r="G317" t="s">
        <v>1938</v>
      </c>
      <c r="H317" t="s">
        <v>60</v>
      </c>
      <c r="I317" t="s">
        <v>26</v>
      </c>
      <c r="J317" t="s">
        <v>237</v>
      </c>
      <c r="K317" t="s">
        <v>237</v>
      </c>
      <c r="L317">
        <v>49464</v>
      </c>
      <c r="M317" t="s">
        <v>41</v>
      </c>
      <c r="N317" t="s">
        <v>1939</v>
      </c>
      <c r="O317" t="s">
        <v>30</v>
      </c>
      <c r="P317" t="s">
        <v>222</v>
      </c>
      <c r="Q317" t="s">
        <v>818</v>
      </c>
      <c r="R317" t="s">
        <v>1940</v>
      </c>
      <c r="S317">
        <v>4</v>
      </c>
      <c r="T317" s="2">
        <v>0.3</v>
      </c>
      <c r="U317" t="s">
        <v>1941</v>
      </c>
      <c r="V317" t="str">
        <f>CHOOSE(MOD(SalesData[[#This Row],[Row ID]]-1,8)+1,"Aarav Sharma","Ananya Singh","Rohan Verma","Priya Gupta","Arjun Mehta","Neha Kapoor","Rahul Joshi","Sneha Patel")</f>
        <v>Aarav Sharma</v>
      </c>
      <c r="W31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17" s="8">
        <f>IFERROR(VALUE(SUBSTITUTE(SUBSTITUTE(SalesData[[#This Row],[Profit]],"$",""),",",""))/VALUE(SUBSTITUTE(SUBSTITUTE(SalesData[[#This Row],[Sales]],"$",""),",","")),0)</f>
        <v>-7.4920147171794765E-2</v>
      </c>
      <c r="Y317" s="6">
        <f>IFERROR(VALUE(SUBSTITUTE(SUBSTITUTE(SalesData[[#This Row],[Sales]],"$",""),",",""))/SalesData[[#This Row],[Quantity]],0)</f>
        <v>61.832500000000003</v>
      </c>
      <c r="Z317">
        <f>YEAR(SalesData[[#This Row],[Order Date]])</f>
        <v>2023</v>
      </c>
      <c r="AA317" t="str">
        <f>TEXT(SalesData[[#This Row],[Order Date]],"mmm")</f>
        <v>Aug</v>
      </c>
      <c r="AB31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18" spans="1:28">
      <c r="A318">
        <v>516</v>
      </c>
      <c r="B318" t="s">
        <v>1942</v>
      </c>
      <c r="C318" s="1">
        <v>45151</v>
      </c>
      <c r="D318" s="1">
        <v>45154</v>
      </c>
      <c r="E318" t="s">
        <v>49</v>
      </c>
      <c r="F318" t="s">
        <v>1943</v>
      </c>
      <c r="G318" t="s">
        <v>149</v>
      </c>
      <c r="H318" t="s">
        <v>39</v>
      </c>
      <c r="I318" t="s">
        <v>26</v>
      </c>
      <c r="J318" t="s">
        <v>229</v>
      </c>
      <c r="K318" t="s">
        <v>229</v>
      </c>
      <c r="L318">
        <v>72409</v>
      </c>
      <c r="M318" t="s">
        <v>73</v>
      </c>
      <c r="N318" t="s">
        <v>1944</v>
      </c>
      <c r="O318" t="s">
        <v>43</v>
      </c>
      <c r="P318" t="s">
        <v>83</v>
      </c>
      <c r="Q318" t="s">
        <v>1196</v>
      </c>
      <c r="R318" t="s">
        <v>1945</v>
      </c>
      <c r="S318">
        <v>2</v>
      </c>
      <c r="T318" s="2">
        <v>0.15</v>
      </c>
      <c r="U318" t="s">
        <v>1946</v>
      </c>
      <c r="V318" t="str">
        <f>CHOOSE(MOD(SalesData[[#This Row],[Row ID]]-1,8)+1,"Aarav Sharma","Ananya Singh","Rohan Verma","Priya Gupta","Arjun Mehta","Neha Kapoor","Rahul Joshi","Sneha Patel")</f>
        <v>Priya Gupta</v>
      </c>
      <c r="W31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18" s="8">
        <f>IFERROR(VALUE(SUBSTITUTE(SUBSTITUTE(SalesData[[#This Row],[Profit]],"$",""),",",""))/VALUE(SUBSTITUTE(SUBSTITUTE(SalesData[[#This Row],[Sales]],"$",""),",","")),0)</f>
        <v>0.17038809144072303</v>
      </c>
      <c r="Y318" s="6">
        <f>IFERROR(VALUE(SUBSTITUTE(SUBSTITUTE(SalesData[[#This Row],[Sales]],"$",""),",",""))/SalesData[[#This Row],[Quantity]],0)</f>
        <v>18.809999999999999</v>
      </c>
      <c r="Z318">
        <f>YEAR(SalesData[[#This Row],[Order Date]])</f>
        <v>2023</v>
      </c>
      <c r="AA318" t="str">
        <f>TEXT(SalesData[[#This Row],[Order Date]],"mmm")</f>
        <v>Aug</v>
      </c>
      <c r="AB31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19" spans="1:28">
      <c r="A319">
        <v>544</v>
      </c>
      <c r="B319" t="s">
        <v>1947</v>
      </c>
      <c r="C319" s="1">
        <v>45153</v>
      </c>
      <c r="D319" s="1">
        <v>45155</v>
      </c>
      <c r="E319" t="s">
        <v>22</v>
      </c>
      <c r="F319" t="s">
        <v>1948</v>
      </c>
      <c r="G319" t="s">
        <v>1685</v>
      </c>
      <c r="H319" t="s">
        <v>39</v>
      </c>
      <c r="I319" t="s">
        <v>26</v>
      </c>
      <c r="J319" t="s">
        <v>52</v>
      </c>
      <c r="K319" t="s">
        <v>52</v>
      </c>
      <c r="L319">
        <v>15813</v>
      </c>
      <c r="M319" t="s">
        <v>41</v>
      </c>
      <c r="N319" t="s">
        <v>165</v>
      </c>
      <c r="O319" t="s">
        <v>30</v>
      </c>
      <c r="P319" t="s">
        <v>222</v>
      </c>
      <c r="Q319" t="s">
        <v>513</v>
      </c>
      <c r="R319" t="s">
        <v>1949</v>
      </c>
      <c r="S319">
        <v>5</v>
      </c>
      <c r="T319" s="2">
        <v>0.5</v>
      </c>
      <c r="U319" t="s">
        <v>1950</v>
      </c>
      <c r="V319" t="str">
        <f>CHOOSE(MOD(SalesData[[#This Row],[Row ID]]-1,8)+1,"Aarav Sharma","Ananya Singh","Rohan Verma","Priya Gupta","Arjun Mehta","Neha Kapoor","Rahul Joshi","Sneha Patel")</f>
        <v>Sneha Patel</v>
      </c>
      <c r="W31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19" s="8">
        <f>IFERROR(VALUE(SUBSTITUTE(SUBSTITUTE(SalesData[[#This Row],[Profit]],"$",""),",",""))/VALUE(SUBSTITUTE(SUBSTITUTE(SalesData[[#This Row],[Sales]],"$",""),",","")),0)</f>
        <v>-0.24776892812589965</v>
      </c>
      <c r="Y319" s="6">
        <f>IFERROR(VALUE(SUBSTITUTE(SUBSTITUTE(SalesData[[#This Row],[Sales]],"$",""),",",""))/SalesData[[#This Row],[Quantity]],0)</f>
        <v>41.683999999999997</v>
      </c>
      <c r="Z319">
        <f>YEAR(SalesData[[#This Row],[Order Date]])</f>
        <v>2023</v>
      </c>
      <c r="AA319" t="str">
        <f>TEXT(SalesData[[#This Row],[Order Date]],"mmm")</f>
        <v>Aug</v>
      </c>
      <c r="AB31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20" spans="1:28">
      <c r="A320">
        <v>531</v>
      </c>
      <c r="B320" t="s">
        <v>1951</v>
      </c>
      <c r="C320" s="1">
        <v>45154</v>
      </c>
      <c r="D320" s="1">
        <v>45157</v>
      </c>
      <c r="E320" t="s">
        <v>49</v>
      </c>
      <c r="F320" t="s">
        <v>1952</v>
      </c>
      <c r="G320" t="s">
        <v>952</v>
      </c>
      <c r="H320" t="s">
        <v>25</v>
      </c>
      <c r="I320" t="s">
        <v>26</v>
      </c>
      <c r="J320" t="s">
        <v>96</v>
      </c>
      <c r="K320" t="s">
        <v>96</v>
      </c>
      <c r="L320">
        <v>74377</v>
      </c>
      <c r="M320" t="s">
        <v>28</v>
      </c>
      <c r="N320" t="s">
        <v>1953</v>
      </c>
      <c r="O320" t="s">
        <v>30</v>
      </c>
      <c r="P320" t="s">
        <v>31</v>
      </c>
      <c r="Q320" t="s">
        <v>739</v>
      </c>
      <c r="R320" t="s">
        <v>1954</v>
      </c>
      <c r="S320">
        <v>4</v>
      </c>
      <c r="T320" s="2">
        <v>0.3</v>
      </c>
      <c r="U320" t="s">
        <v>1955</v>
      </c>
      <c r="V320" t="str">
        <f>CHOOSE(MOD(SalesData[[#This Row],[Row ID]]-1,8)+1,"Aarav Sharma","Ananya Singh","Rohan Verma","Priya Gupta","Arjun Mehta","Neha Kapoor","Rahul Joshi","Sneha Patel")</f>
        <v>Rohan Verma</v>
      </c>
      <c r="W32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20" s="8">
        <f>IFERROR(VALUE(SUBSTITUTE(SUBSTITUTE(SalesData[[#This Row],[Profit]],"$",""),",",""))/VALUE(SUBSTITUTE(SUBSTITUTE(SalesData[[#This Row],[Sales]],"$",""),",","")),0)</f>
        <v>-0.13163358926070792</v>
      </c>
      <c r="Y320" s="6">
        <f>IFERROR(VALUE(SUBSTITUTE(SUBSTITUTE(SalesData[[#This Row],[Sales]],"$",""),",",""))/SalesData[[#This Row],[Quantity]],0)</f>
        <v>51.772500000000001</v>
      </c>
      <c r="Z320">
        <f>YEAR(SalesData[[#This Row],[Order Date]])</f>
        <v>2023</v>
      </c>
      <c r="AA320" t="str">
        <f>TEXT(SalesData[[#This Row],[Order Date]],"mmm")</f>
        <v>Aug</v>
      </c>
      <c r="AB32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21" spans="1:28">
      <c r="A321">
        <v>599</v>
      </c>
      <c r="B321" t="s">
        <v>1956</v>
      </c>
      <c r="C321" s="1">
        <v>45154</v>
      </c>
      <c r="D321" s="1">
        <v>45160</v>
      </c>
      <c r="E321" t="s">
        <v>36</v>
      </c>
      <c r="F321" t="s">
        <v>1957</v>
      </c>
      <c r="G321" t="s">
        <v>932</v>
      </c>
      <c r="H321" t="s">
        <v>60</v>
      </c>
      <c r="I321" t="s">
        <v>26</v>
      </c>
      <c r="J321" t="s">
        <v>52</v>
      </c>
      <c r="K321" t="s">
        <v>52</v>
      </c>
      <c r="L321">
        <v>16765</v>
      </c>
      <c r="M321" t="s">
        <v>41</v>
      </c>
      <c r="N321" t="s">
        <v>246</v>
      </c>
      <c r="O321" t="s">
        <v>30</v>
      </c>
      <c r="P321" t="s">
        <v>197</v>
      </c>
      <c r="Q321" t="s">
        <v>1958</v>
      </c>
      <c r="R321" t="s">
        <v>1959</v>
      </c>
      <c r="S321">
        <v>5</v>
      </c>
      <c r="T321" s="2">
        <v>0</v>
      </c>
      <c r="U321" t="s">
        <v>1960</v>
      </c>
      <c r="V321" t="str">
        <f>CHOOSE(MOD(SalesData[[#This Row],[Row ID]]-1,8)+1,"Aarav Sharma","Ananya Singh","Rohan Verma","Priya Gupta","Arjun Mehta","Neha Kapoor","Rahul Joshi","Sneha Patel")</f>
        <v>Rahul Joshi</v>
      </c>
      <c r="W32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21" s="8">
        <f>IFERROR(VALUE(SUBSTITUTE(SUBSTITUTE(SalesData[[#This Row],[Profit]],"$",""),",",""))/VALUE(SUBSTITUTE(SUBSTITUTE(SalesData[[#This Row],[Sales]],"$",""),",","")),0)</f>
        <v>0.20809389900965886</v>
      </c>
      <c r="Y321" s="6">
        <f>IFERROR(VALUE(SUBSTITUTE(SUBSTITUTE(SalesData[[#This Row],[Sales]],"$",""),",",""))/SalesData[[#This Row],[Quantity]],0)</f>
        <v>16.358000000000001</v>
      </c>
      <c r="Z321">
        <f>YEAR(SalesData[[#This Row],[Order Date]])</f>
        <v>2023</v>
      </c>
      <c r="AA321" t="str">
        <f>TEXT(SalesData[[#This Row],[Order Date]],"mmm")</f>
        <v>Aug</v>
      </c>
      <c r="AB32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22" spans="1:28">
      <c r="A322">
        <v>552</v>
      </c>
      <c r="B322" t="s">
        <v>1961</v>
      </c>
      <c r="C322" s="1">
        <v>45155</v>
      </c>
      <c r="D322" s="1">
        <v>45159</v>
      </c>
      <c r="E322" t="s">
        <v>36</v>
      </c>
      <c r="F322" t="s">
        <v>1962</v>
      </c>
      <c r="G322" t="s">
        <v>700</v>
      </c>
      <c r="H322" t="s">
        <v>25</v>
      </c>
      <c r="I322" t="s">
        <v>26</v>
      </c>
      <c r="J322" t="s">
        <v>229</v>
      </c>
      <c r="K322" t="s">
        <v>229</v>
      </c>
      <c r="L322">
        <v>42599</v>
      </c>
      <c r="M322" t="s">
        <v>73</v>
      </c>
      <c r="N322" t="s">
        <v>1963</v>
      </c>
      <c r="O322" t="s">
        <v>30</v>
      </c>
      <c r="P322" t="s">
        <v>222</v>
      </c>
      <c r="Q322" t="s">
        <v>1183</v>
      </c>
      <c r="R322" t="s">
        <v>1425</v>
      </c>
      <c r="S322">
        <v>3</v>
      </c>
      <c r="T322" s="2">
        <v>0</v>
      </c>
      <c r="U322" t="s">
        <v>1964</v>
      </c>
      <c r="V322" t="str">
        <f>CHOOSE(MOD(SalesData[[#This Row],[Row ID]]-1,8)+1,"Aarav Sharma","Ananya Singh","Rohan Verma","Priya Gupta","Arjun Mehta","Neha Kapoor","Rahul Joshi","Sneha Patel")</f>
        <v>Sneha Patel</v>
      </c>
      <c r="W32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22" s="8">
        <f>IFERROR(VALUE(SUBSTITUTE(SUBSTITUTE(SalesData[[#This Row],[Profit]],"$",""),",",""))/VALUE(SUBSTITUTE(SUBSTITUTE(SalesData[[#This Row],[Sales]],"$",""),",","")),0)</f>
        <v>0.25703261140154343</v>
      </c>
      <c r="Y322" s="6">
        <f>IFERROR(VALUE(SUBSTITUTE(SUBSTITUTE(SalesData[[#This Row],[Sales]],"$",""),",",""))/SalesData[[#This Row],[Quantity]],0)</f>
        <v>53.56</v>
      </c>
      <c r="Z322">
        <f>YEAR(SalesData[[#This Row],[Order Date]])</f>
        <v>2023</v>
      </c>
      <c r="AA322" t="str">
        <f>TEXT(SalesData[[#This Row],[Order Date]],"mmm")</f>
        <v>Aug</v>
      </c>
      <c r="AB32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23" spans="1:28">
      <c r="A323">
        <v>331</v>
      </c>
      <c r="B323" t="s">
        <v>1965</v>
      </c>
      <c r="C323" s="1">
        <v>45155</v>
      </c>
      <c r="D323" s="1">
        <v>45158</v>
      </c>
      <c r="E323" t="s">
        <v>22</v>
      </c>
      <c r="F323" t="s">
        <v>1966</v>
      </c>
      <c r="G323" t="s">
        <v>1519</v>
      </c>
      <c r="H323" t="s">
        <v>25</v>
      </c>
      <c r="I323" t="s">
        <v>26</v>
      </c>
      <c r="J323" t="s">
        <v>641</v>
      </c>
      <c r="K323" t="s">
        <v>641</v>
      </c>
      <c r="L323">
        <v>12892</v>
      </c>
      <c r="M323" t="s">
        <v>62</v>
      </c>
      <c r="N323" t="s">
        <v>1967</v>
      </c>
      <c r="O323" t="s">
        <v>43</v>
      </c>
      <c r="P323" t="s">
        <v>44</v>
      </c>
      <c r="Q323" t="s">
        <v>239</v>
      </c>
      <c r="R323" t="s">
        <v>1968</v>
      </c>
      <c r="S323">
        <v>6</v>
      </c>
      <c r="T323" s="2">
        <v>0.3</v>
      </c>
      <c r="U323" t="s">
        <v>1969</v>
      </c>
      <c r="V323" t="str">
        <f>CHOOSE(MOD(SalesData[[#This Row],[Row ID]]-1,8)+1,"Aarav Sharma","Ananya Singh","Rohan Verma","Priya Gupta","Arjun Mehta","Neha Kapoor","Rahul Joshi","Sneha Patel")</f>
        <v>Rohan Verma</v>
      </c>
      <c r="W32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23" s="8">
        <f>IFERROR(VALUE(SUBSTITUTE(SUBSTITUTE(SalesData[[#This Row],[Profit]],"$",""),",",""))/VALUE(SUBSTITUTE(SUBSTITUTE(SalesData[[#This Row],[Sales]],"$",""),",","")),0)</f>
        <v>5.3511705685618735E-2</v>
      </c>
      <c r="Y323" s="6">
        <f>IFERROR(VALUE(SUBSTITUTE(SUBSTITUTE(SalesData[[#This Row],[Sales]],"$",""),",",""))/SalesData[[#This Row],[Quantity]],0)</f>
        <v>2.4916666666666667</v>
      </c>
      <c r="Z323">
        <f>YEAR(SalesData[[#This Row],[Order Date]])</f>
        <v>2023</v>
      </c>
      <c r="AA323" t="str">
        <f>TEXT(SalesData[[#This Row],[Order Date]],"mmm")</f>
        <v>Aug</v>
      </c>
      <c r="AB32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24" spans="1:28">
      <c r="A324">
        <v>298</v>
      </c>
      <c r="B324" t="s">
        <v>1970</v>
      </c>
      <c r="C324" s="1">
        <v>45156</v>
      </c>
      <c r="D324" s="1">
        <v>45161</v>
      </c>
      <c r="E324" t="s">
        <v>49</v>
      </c>
      <c r="F324" t="s">
        <v>1971</v>
      </c>
      <c r="G324" t="s">
        <v>707</v>
      </c>
      <c r="H324" t="s">
        <v>60</v>
      </c>
      <c r="I324" t="s">
        <v>26</v>
      </c>
      <c r="J324" t="s">
        <v>52</v>
      </c>
      <c r="K324" t="s">
        <v>52</v>
      </c>
      <c r="L324">
        <v>23386</v>
      </c>
      <c r="M324" t="s">
        <v>41</v>
      </c>
      <c r="N324" t="s">
        <v>1972</v>
      </c>
      <c r="O324" t="s">
        <v>64</v>
      </c>
      <c r="P324" t="s">
        <v>405</v>
      </c>
      <c r="Q324" t="s">
        <v>1973</v>
      </c>
      <c r="R324" t="s">
        <v>1974</v>
      </c>
      <c r="S324">
        <v>6</v>
      </c>
      <c r="T324" s="2">
        <v>0.2</v>
      </c>
      <c r="U324" t="s">
        <v>1975</v>
      </c>
      <c r="V324" t="str">
        <f>CHOOSE(MOD(SalesData[[#This Row],[Row ID]]-1,8)+1,"Aarav Sharma","Ananya Singh","Rohan Verma","Priya Gupta","Arjun Mehta","Neha Kapoor","Rahul Joshi","Sneha Patel")</f>
        <v>Ananya Singh</v>
      </c>
      <c r="W32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24" s="8">
        <f>IFERROR(VALUE(SUBSTITUTE(SUBSTITUTE(SalesData[[#This Row],[Profit]],"$",""),",",""))/VALUE(SUBSTITUTE(SUBSTITUTE(SalesData[[#This Row],[Sales]],"$",""),",","")),0)</f>
        <v>0.14473260827595083</v>
      </c>
      <c r="Y324" s="6">
        <f>IFERROR(VALUE(SUBSTITUTE(SUBSTITUTE(SalesData[[#This Row],[Sales]],"$",""),",",""))/SalesData[[#This Row],[Quantity]],0)</f>
        <v>25.89833333333333</v>
      </c>
      <c r="Z324">
        <f>YEAR(SalesData[[#This Row],[Order Date]])</f>
        <v>2023</v>
      </c>
      <c r="AA324" t="str">
        <f>TEXT(SalesData[[#This Row],[Order Date]],"mmm")</f>
        <v>Aug</v>
      </c>
      <c r="AB32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25" spans="1:28">
      <c r="A325">
        <v>329</v>
      </c>
      <c r="B325" t="s">
        <v>1976</v>
      </c>
      <c r="C325" s="1">
        <v>45157</v>
      </c>
      <c r="D325" s="1">
        <v>45160</v>
      </c>
      <c r="E325" t="s">
        <v>36</v>
      </c>
      <c r="F325" t="s">
        <v>1247</v>
      </c>
      <c r="G325" t="s">
        <v>1452</v>
      </c>
      <c r="H325" t="s">
        <v>25</v>
      </c>
      <c r="I325" t="s">
        <v>26</v>
      </c>
      <c r="J325" t="s">
        <v>363</v>
      </c>
      <c r="K325" t="s">
        <v>363</v>
      </c>
      <c r="L325">
        <v>84681</v>
      </c>
      <c r="M325" t="s">
        <v>62</v>
      </c>
      <c r="N325" t="s">
        <v>1977</v>
      </c>
      <c r="O325" t="s">
        <v>43</v>
      </c>
      <c r="P325" t="s">
        <v>128</v>
      </c>
      <c r="Q325" t="s">
        <v>615</v>
      </c>
      <c r="R325" t="s">
        <v>1978</v>
      </c>
      <c r="S325">
        <v>5</v>
      </c>
      <c r="T325" s="2">
        <v>0</v>
      </c>
      <c r="U325" t="s">
        <v>1979</v>
      </c>
      <c r="V325" t="str">
        <f>CHOOSE(MOD(SalesData[[#This Row],[Row ID]]-1,8)+1,"Aarav Sharma","Ananya Singh","Rohan Verma","Priya Gupta","Arjun Mehta","Neha Kapoor","Rahul Joshi","Sneha Patel")</f>
        <v>Aarav Sharma</v>
      </c>
      <c r="W32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25" s="8">
        <f>IFERROR(VALUE(SUBSTITUTE(SUBSTITUTE(SalesData[[#This Row],[Profit]],"$",""),",",""))/VALUE(SUBSTITUTE(SUBSTITUTE(SalesData[[#This Row],[Sales]],"$",""),",","")),0)</f>
        <v>0.30693543240080839</v>
      </c>
      <c r="Y325" s="6">
        <f>IFERROR(VALUE(SUBSTITUTE(SUBSTITUTE(SalesData[[#This Row],[Sales]],"$",""),",",""))/SalesData[[#This Row],[Quantity]],0)</f>
        <v>37.603999999999999</v>
      </c>
      <c r="Z325">
        <f>YEAR(SalesData[[#This Row],[Order Date]])</f>
        <v>2023</v>
      </c>
      <c r="AA325" t="str">
        <f>TEXT(SalesData[[#This Row],[Order Date]],"mmm")</f>
        <v>Aug</v>
      </c>
      <c r="AB32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26" spans="1:28">
      <c r="A326">
        <v>130</v>
      </c>
      <c r="B326" t="s">
        <v>1980</v>
      </c>
      <c r="C326" s="1">
        <v>45157</v>
      </c>
      <c r="D326" s="1">
        <v>45160</v>
      </c>
      <c r="E326" t="s">
        <v>49</v>
      </c>
      <c r="F326" t="s">
        <v>1981</v>
      </c>
      <c r="G326" t="s">
        <v>561</v>
      </c>
      <c r="H326" t="s">
        <v>25</v>
      </c>
      <c r="I326" t="s">
        <v>26</v>
      </c>
      <c r="J326" t="s">
        <v>245</v>
      </c>
      <c r="K326" t="s">
        <v>245</v>
      </c>
      <c r="L326">
        <v>32669</v>
      </c>
      <c r="M326" t="s">
        <v>41</v>
      </c>
      <c r="N326" t="s">
        <v>1982</v>
      </c>
      <c r="O326" t="s">
        <v>30</v>
      </c>
      <c r="P326" t="s">
        <v>120</v>
      </c>
      <c r="Q326" t="s">
        <v>1983</v>
      </c>
      <c r="R326" t="s">
        <v>1984</v>
      </c>
      <c r="S326">
        <v>7</v>
      </c>
      <c r="T326" s="2">
        <v>0.1</v>
      </c>
      <c r="U326" t="s">
        <v>1028</v>
      </c>
      <c r="V326" t="str">
        <f>CHOOSE(MOD(SalesData[[#This Row],[Row ID]]-1,8)+1,"Aarav Sharma","Ananya Singh","Rohan Verma","Priya Gupta","Arjun Mehta","Neha Kapoor","Rahul Joshi","Sneha Patel")</f>
        <v>Ananya Singh</v>
      </c>
      <c r="W32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26" s="8">
        <f>IFERROR(VALUE(SUBSTITUTE(SUBSTITUTE(SalesData[[#This Row],[Profit]],"$",""),",",""))/VALUE(SUBSTITUTE(SUBSTITUTE(SalesData[[#This Row],[Sales]],"$",""),",","")),0)</f>
        <v>0.14604264916957144</v>
      </c>
      <c r="Y326" s="6">
        <f>IFERROR(VALUE(SUBSTITUTE(SUBSTITUTE(SalesData[[#This Row],[Sales]],"$",""),",",""))/SalesData[[#This Row],[Quantity]],0)</f>
        <v>27.868571428571432</v>
      </c>
      <c r="Z326">
        <f>YEAR(SalesData[[#This Row],[Order Date]])</f>
        <v>2023</v>
      </c>
      <c r="AA326" t="str">
        <f>TEXT(SalesData[[#This Row],[Order Date]],"mmm")</f>
        <v>Aug</v>
      </c>
      <c r="AB32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27" spans="1:28">
      <c r="A327">
        <v>279</v>
      </c>
      <c r="B327" t="s">
        <v>1985</v>
      </c>
      <c r="C327" s="1">
        <v>45159</v>
      </c>
      <c r="D327" s="1">
        <v>45162</v>
      </c>
      <c r="E327" t="s">
        <v>22</v>
      </c>
      <c r="F327" t="s">
        <v>1986</v>
      </c>
      <c r="G327" t="s">
        <v>932</v>
      </c>
      <c r="H327" t="s">
        <v>25</v>
      </c>
      <c r="I327" t="s">
        <v>26</v>
      </c>
      <c r="J327" t="s">
        <v>81</v>
      </c>
      <c r="K327" t="s">
        <v>81</v>
      </c>
      <c r="L327">
        <v>34846</v>
      </c>
      <c r="M327" t="s">
        <v>62</v>
      </c>
      <c r="N327" t="s">
        <v>1148</v>
      </c>
      <c r="O327" t="s">
        <v>43</v>
      </c>
      <c r="P327" t="s">
        <v>44</v>
      </c>
      <c r="Q327" t="s">
        <v>1527</v>
      </c>
      <c r="R327" t="s">
        <v>1987</v>
      </c>
      <c r="S327">
        <v>6</v>
      </c>
      <c r="T327" s="2">
        <v>0.2</v>
      </c>
      <c r="U327" t="s">
        <v>1988</v>
      </c>
      <c r="V327" t="str">
        <f>CHOOSE(MOD(SalesData[[#This Row],[Row ID]]-1,8)+1,"Aarav Sharma","Ananya Singh","Rohan Verma","Priya Gupta","Arjun Mehta","Neha Kapoor","Rahul Joshi","Sneha Patel")</f>
        <v>Rahul Joshi</v>
      </c>
      <c r="W32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27" s="8">
        <f>IFERROR(VALUE(SUBSTITUTE(SUBSTITUTE(SalesData[[#This Row],[Profit]],"$",""),",",""))/VALUE(SUBSTITUTE(SUBSTITUTE(SalesData[[#This Row],[Sales]],"$",""),",","")),0)</f>
        <v>0.12283131651844292</v>
      </c>
      <c r="Y327" s="6">
        <f>IFERROR(VALUE(SUBSTITUTE(SUBSTITUTE(SalesData[[#This Row],[Sales]],"$",""),",",""))/SalesData[[#This Row],[Quantity]],0)</f>
        <v>22.863333333333333</v>
      </c>
      <c r="Z327">
        <f>YEAR(SalesData[[#This Row],[Order Date]])</f>
        <v>2023</v>
      </c>
      <c r="AA327" t="str">
        <f>TEXT(SalesData[[#This Row],[Order Date]],"mmm")</f>
        <v>Aug</v>
      </c>
      <c r="AB32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28" spans="1:28">
      <c r="A328">
        <v>582</v>
      </c>
      <c r="B328" t="s">
        <v>1989</v>
      </c>
      <c r="C328" s="1">
        <v>45160</v>
      </c>
      <c r="D328" s="1">
        <v>45163</v>
      </c>
      <c r="E328" t="s">
        <v>49</v>
      </c>
      <c r="F328" t="s">
        <v>1990</v>
      </c>
      <c r="G328" t="s">
        <v>71</v>
      </c>
      <c r="H328" t="s">
        <v>39</v>
      </c>
      <c r="I328" t="s">
        <v>26</v>
      </c>
      <c r="J328" t="s">
        <v>245</v>
      </c>
      <c r="K328" t="s">
        <v>245</v>
      </c>
      <c r="L328">
        <v>94631</v>
      </c>
      <c r="M328" t="s">
        <v>41</v>
      </c>
      <c r="N328" t="s">
        <v>1991</v>
      </c>
      <c r="O328" t="s">
        <v>64</v>
      </c>
      <c r="P328" t="s">
        <v>105</v>
      </c>
      <c r="Q328" t="s">
        <v>1992</v>
      </c>
      <c r="R328" t="s">
        <v>1993</v>
      </c>
      <c r="S328">
        <v>4</v>
      </c>
      <c r="T328" s="2">
        <v>0</v>
      </c>
      <c r="U328" t="s">
        <v>1994</v>
      </c>
      <c r="V328" t="str">
        <f>CHOOSE(MOD(SalesData[[#This Row],[Row ID]]-1,8)+1,"Aarav Sharma","Ananya Singh","Rohan Verma","Priya Gupta","Arjun Mehta","Neha Kapoor","Rahul Joshi","Sneha Patel")</f>
        <v>Neha Kapoor</v>
      </c>
      <c r="W32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28" s="8">
        <f>IFERROR(VALUE(SUBSTITUTE(SUBSTITUTE(SalesData[[#This Row],[Profit]],"$",""),",",""))/VALUE(SUBSTITUTE(SUBSTITUTE(SalesData[[#This Row],[Sales]],"$",""),",","")),0)</f>
        <v>0.23384367445608381</v>
      </c>
      <c r="Y328" s="6">
        <f>IFERROR(VALUE(SUBSTITUTE(SUBSTITUTE(SalesData[[#This Row],[Sales]],"$",""),",",""))/SalesData[[#This Row],[Quantity]],0)</f>
        <v>15.512499999999999</v>
      </c>
      <c r="Z328">
        <f>YEAR(SalesData[[#This Row],[Order Date]])</f>
        <v>2023</v>
      </c>
      <c r="AA328" t="str">
        <f>TEXT(SalesData[[#This Row],[Order Date]],"mmm")</f>
        <v>Aug</v>
      </c>
      <c r="AB32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29" spans="1:28">
      <c r="A329">
        <v>313</v>
      </c>
      <c r="B329" t="s">
        <v>1995</v>
      </c>
      <c r="C329" s="1">
        <v>45160</v>
      </c>
      <c r="D329" s="1">
        <v>45164</v>
      </c>
      <c r="E329" t="s">
        <v>49</v>
      </c>
      <c r="F329" t="s">
        <v>1996</v>
      </c>
      <c r="G329" t="s">
        <v>1997</v>
      </c>
      <c r="H329" t="s">
        <v>39</v>
      </c>
      <c r="I329" t="s">
        <v>26</v>
      </c>
      <c r="J329" t="s">
        <v>212</v>
      </c>
      <c r="K329" t="s">
        <v>212</v>
      </c>
      <c r="L329">
        <v>13174</v>
      </c>
      <c r="M329" t="s">
        <v>28</v>
      </c>
      <c r="N329" t="s">
        <v>1998</v>
      </c>
      <c r="O329" t="s">
        <v>64</v>
      </c>
      <c r="P329" t="s">
        <v>136</v>
      </c>
      <c r="Q329" t="s">
        <v>1539</v>
      </c>
      <c r="R329" t="s">
        <v>1999</v>
      </c>
      <c r="S329">
        <v>1</v>
      </c>
      <c r="T329" s="2">
        <v>0.15</v>
      </c>
      <c r="U329" t="s">
        <v>2000</v>
      </c>
      <c r="V329" t="str">
        <f>CHOOSE(MOD(SalesData[[#This Row],[Row ID]]-1,8)+1,"Aarav Sharma","Ananya Singh","Rohan Verma","Priya Gupta","Arjun Mehta","Neha Kapoor","Rahul Joshi","Sneha Patel")</f>
        <v>Aarav Sharma</v>
      </c>
      <c r="W32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29" s="8">
        <f>IFERROR(VALUE(SUBSTITUTE(SUBSTITUTE(SalesData[[#This Row],[Profit]],"$",""),",",""))/VALUE(SUBSTITUTE(SUBSTITUTE(SalesData[[#This Row],[Sales]],"$",""),",","")),0)</f>
        <v>0.17414021025242882</v>
      </c>
      <c r="Y329" s="6">
        <f>IFERROR(VALUE(SUBSTITUTE(SUBSTITUTE(SalesData[[#This Row],[Sales]],"$",""),",",""))/SalesData[[#This Row],[Quantity]],0)</f>
        <v>476.57</v>
      </c>
      <c r="Z329">
        <f>YEAR(SalesData[[#This Row],[Order Date]])</f>
        <v>2023</v>
      </c>
      <c r="AA329" t="str">
        <f>TEXT(SalesData[[#This Row],[Order Date]],"mmm")</f>
        <v>Aug</v>
      </c>
      <c r="AB32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30" spans="1:28">
      <c r="A330">
        <v>509</v>
      </c>
      <c r="B330" t="s">
        <v>2001</v>
      </c>
      <c r="C330" s="1">
        <v>45161</v>
      </c>
      <c r="D330" s="1">
        <v>45163</v>
      </c>
      <c r="E330" t="s">
        <v>49</v>
      </c>
      <c r="F330" t="s">
        <v>2002</v>
      </c>
      <c r="G330" t="s">
        <v>1657</v>
      </c>
      <c r="H330" t="s">
        <v>39</v>
      </c>
      <c r="I330" t="s">
        <v>26</v>
      </c>
      <c r="J330" t="s">
        <v>52</v>
      </c>
      <c r="K330" t="s">
        <v>52</v>
      </c>
      <c r="L330">
        <v>56835</v>
      </c>
      <c r="M330" t="s">
        <v>41</v>
      </c>
      <c r="N330" t="s">
        <v>2003</v>
      </c>
      <c r="O330" t="s">
        <v>43</v>
      </c>
      <c r="P330" t="s">
        <v>166</v>
      </c>
      <c r="Q330" t="s">
        <v>2004</v>
      </c>
      <c r="R330" t="s">
        <v>2005</v>
      </c>
      <c r="S330">
        <v>2</v>
      </c>
      <c r="T330" s="2">
        <v>0</v>
      </c>
      <c r="U330" t="s">
        <v>282</v>
      </c>
      <c r="V330" t="str">
        <f>CHOOSE(MOD(SalesData[[#This Row],[Row ID]]-1,8)+1,"Aarav Sharma","Ananya Singh","Rohan Verma","Priya Gupta","Arjun Mehta","Neha Kapoor","Rahul Joshi","Sneha Patel")</f>
        <v>Arjun Mehta</v>
      </c>
      <c r="W33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30" s="8">
        <f>IFERROR(VALUE(SUBSTITUTE(SUBSTITUTE(SalesData[[#This Row],[Profit]],"$",""),",",""))/VALUE(SUBSTITUTE(SUBSTITUTE(SalesData[[#This Row],[Sales]],"$",""),",","")),0)</f>
        <v>0.2766063011659638</v>
      </c>
      <c r="Y330" s="6">
        <f>IFERROR(VALUE(SUBSTITUTE(SUBSTITUTE(SalesData[[#This Row],[Sales]],"$",""),",",""))/SalesData[[#This Row],[Quantity]],0)</f>
        <v>60.465000000000003</v>
      </c>
      <c r="Z330">
        <f>YEAR(SalesData[[#This Row],[Order Date]])</f>
        <v>2023</v>
      </c>
      <c r="AA330" t="str">
        <f>TEXT(SalesData[[#This Row],[Order Date]],"mmm")</f>
        <v>Aug</v>
      </c>
      <c r="AB33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31" spans="1:28">
      <c r="A331">
        <v>457</v>
      </c>
      <c r="B331" t="s">
        <v>2006</v>
      </c>
      <c r="C331" s="1">
        <v>45161</v>
      </c>
      <c r="D331" s="1">
        <v>45164</v>
      </c>
      <c r="E331" t="s">
        <v>36</v>
      </c>
      <c r="F331" t="s">
        <v>2007</v>
      </c>
      <c r="G331" t="s">
        <v>1025</v>
      </c>
      <c r="H331" t="s">
        <v>60</v>
      </c>
      <c r="I331" t="s">
        <v>26</v>
      </c>
      <c r="J331" t="s">
        <v>641</v>
      </c>
      <c r="K331" t="s">
        <v>641</v>
      </c>
      <c r="L331">
        <v>47606</v>
      </c>
      <c r="M331" t="s">
        <v>62</v>
      </c>
      <c r="N331" t="s">
        <v>2008</v>
      </c>
      <c r="O331" t="s">
        <v>43</v>
      </c>
      <c r="P331" t="s">
        <v>214</v>
      </c>
      <c r="Q331" t="s">
        <v>413</v>
      </c>
      <c r="R331" t="s">
        <v>2009</v>
      </c>
      <c r="S331">
        <v>5</v>
      </c>
      <c r="T331" s="2">
        <v>0.3</v>
      </c>
      <c r="U331" t="s">
        <v>2010</v>
      </c>
      <c r="V331" t="str">
        <f>CHOOSE(MOD(SalesData[[#This Row],[Row ID]]-1,8)+1,"Aarav Sharma","Ananya Singh","Rohan Verma","Priya Gupta","Arjun Mehta","Neha Kapoor","Rahul Joshi","Sneha Patel")</f>
        <v>Aarav Sharma</v>
      </c>
      <c r="W33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31" s="8">
        <f>IFERROR(VALUE(SUBSTITUTE(SUBSTITUTE(SalesData[[#This Row],[Profit]],"$",""),",",""))/VALUE(SUBSTITUTE(SUBSTITUTE(SalesData[[#This Row],[Sales]],"$",""),",","")),0)</f>
        <v>7.3622746890073618E-3</v>
      </c>
      <c r="Y331" s="6">
        <f>IFERROR(VALUE(SUBSTITUTE(SUBSTITUTE(SalesData[[#This Row],[Sales]],"$",""),",",""))/SalesData[[#This Row],[Quantity]],0)</f>
        <v>7.8780000000000001</v>
      </c>
      <c r="Z331">
        <f>YEAR(SalesData[[#This Row],[Order Date]])</f>
        <v>2023</v>
      </c>
      <c r="AA331" t="str">
        <f>TEXT(SalesData[[#This Row],[Order Date]],"mmm")</f>
        <v>Aug</v>
      </c>
      <c r="AB33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32" spans="1:28">
      <c r="A332">
        <v>40</v>
      </c>
      <c r="B332" t="s">
        <v>2011</v>
      </c>
      <c r="C332" s="1">
        <v>45165</v>
      </c>
      <c r="D332" s="1">
        <v>45168</v>
      </c>
      <c r="E332" t="s">
        <v>36</v>
      </c>
      <c r="F332" t="s">
        <v>2012</v>
      </c>
      <c r="G332" t="s">
        <v>541</v>
      </c>
      <c r="H332" t="s">
        <v>39</v>
      </c>
      <c r="I332" t="s">
        <v>26</v>
      </c>
      <c r="J332" t="s">
        <v>81</v>
      </c>
      <c r="K332" t="s">
        <v>81</v>
      </c>
      <c r="L332">
        <v>29262</v>
      </c>
      <c r="M332" t="s">
        <v>62</v>
      </c>
      <c r="N332" t="s">
        <v>965</v>
      </c>
      <c r="O332" t="s">
        <v>30</v>
      </c>
      <c r="P332" t="s">
        <v>31</v>
      </c>
      <c r="Q332" t="s">
        <v>2013</v>
      </c>
      <c r="R332" t="s">
        <v>2014</v>
      </c>
      <c r="S332">
        <v>2</v>
      </c>
      <c r="T332" s="2">
        <v>0.2</v>
      </c>
      <c r="U332" t="s">
        <v>2015</v>
      </c>
      <c r="V332" t="str">
        <f>CHOOSE(MOD(SalesData[[#This Row],[Row ID]]-1,8)+1,"Aarav Sharma","Ananya Singh","Rohan Verma","Priya Gupta","Arjun Mehta","Neha Kapoor","Rahul Joshi","Sneha Patel")</f>
        <v>Sneha Patel</v>
      </c>
      <c r="W33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32" s="8">
        <f>IFERROR(VALUE(SUBSTITUTE(SUBSTITUTE(SalesData[[#This Row],[Profit]],"$",""),",",""))/VALUE(SUBSTITUTE(SUBSTITUTE(SalesData[[#This Row],[Sales]],"$",""),",","")),0)</f>
        <v>-6.4642507345739472E-3</v>
      </c>
      <c r="Y332" s="6">
        <f>IFERROR(VALUE(SUBSTITUTE(SUBSTITUTE(SalesData[[#This Row],[Sales]],"$",""),",",""))/SalesData[[#This Row],[Quantity]],0)</f>
        <v>76.575000000000003</v>
      </c>
      <c r="Z332">
        <f>YEAR(SalesData[[#This Row],[Order Date]])</f>
        <v>2023</v>
      </c>
      <c r="AA332" t="str">
        <f>TEXT(SalesData[[#This Row],[Order Date]],"mmm")</f>
        <v>Aug</v>
      </c>
      <c r="AB33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33" spans="1:28">
      <c r="A333">
        <v>183</v>
      </c>
      <c r="B333" t="s">
        <v>2016</v>
      </c>
      <c r="C333" s="1">
        <v>45166</v>
      </c>
      <c r="D333" s="1">
        <v>45169</v>
      </c>
      <c r="E333" t="s">
        <v>36</v>
      </c>
      <c r="F333" t="s">
        <v>2017</v>
      </c>
      <c r="G333" t="s">
        <v>384</v>
      </c>
      <c r="H333" t="s">
        <v>25</v>
      </c>
      <c r="I333" t="s">
        <v>26</v>
      </c>
      <c r="J333" t="s">
        <v>260</v>
      </c>
      <c r="K333" t="s">
        <v>260</v>
      </c>
      <c r="L333">
        <v>73811</v>
      </c>
      <c r="M333" t="s">
        <v>41</v>
      </c>
      <c r="N333" t="s">
        <v>1901</v>
      </c>
      <c r="O333" t="s">
        <v>43</v>
      </c>
      <c r="P333" t="s">
        <v>44</v>
      </c>
      <c r="Q333" t="s">
        <v>2018</v>
      </c>
      <c r="R333" t="s">
        <v>2019</v>
      </c>
      <c r="S333">
        <v>1</v>
      </c>
      <c r="T333" s="2">
        <v>0.3</v>
      </c>
      <c r="U333" t="s">
        <v>2020</v>
      </c>
      <c r="V333" t="str">
        <f>CHOOSE(MOD(SalesData[[#This Row],[Row ID]]-1,8)+1,"Aarav Sharma","Ananya Singh","Rohan Verma","Priya Gupta","Arjun Mehta","Neha Kapoor","Rahul Joshi","Sneha Patel")</f>
        <v>Rahul Joshi</v>
      </c>
      <c r="W33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33" s="8">
        <f>IFERROR(VALUE(SUBSTITUTE(SUBSTITUTE(SalesData[[#This Row],[Profit]],"$",""),",",""))/VALUE(SUBSTITUTE(SUBSTITUTE(SalesData[[#This Row],[Sales]],"$",""),",","")),0)</f>
        <v>-1.7371882367539398E-3</v>
      </c>
      <c r="Y333" s="6">
        <f>IFERROR(VALUE(SUBSTITUTE(SUBSTITUTE(SalesData[[#This Row],[Sales]],"$",""),",",""))/SalesData[[#This Row],[Quantity]],0)</f>
        <v>80.59</v>
      </c>
      <c r="Z333">
        <f>YEAR(SalesData[[#This Row],[Order Date]])</f>
        <v>2023</v>
      </c>
      <c r="AA333" t="str">
        <f>TEXT(SalesData[[#This Row],[Order Date]],"mmm")</f>
        <v>Aug</v>
      </c>
      <c r="AB33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34" spans="1:28">
      <c r="A334">
        <v>424</v>
      </c>
      <c r="B334" t="s">
        <v>2021</v>
      </c>
      <c r="C334" s="1">
        <v>45166</v>
      </c>
      <c r="D334" s="1">
        <v>45168</v>
      </c>
      <c r="E334" t="s">
        <v>36</v>
      </c>
      <c r="F334" t="s">
        <v>2022</v>
      </c>
      <c r="G334" t="s">
        <v>750</v>
      </c>
      <c r="H334" t="s">
        <v>39</v>
      </c>
      <c r="I334" t="s">
        <v>26</v>
      </c>
      <c r="J334" t="s">
        <v>363</v>
      </c>
      <c r="K334" t="s">
        <v>363</v>
      </c>
      <c r="L334">
        <v>92999</v>
      </c>
      <c r="M334" t="s">
        <v>62</v>
      </c>
      <c r="N334" t="s">
        <v>2023</v>
      </c>
      <c r="O334" t="s">
        <v>30</v>
      </c>
      <c r="P334" t="s">
        <v>197</v>
      </c>
      <c r="Q334" t="s">
        <v>2024</v>
      </c>
      <c r="R334" t="s">
        <v>2025</v>
      </c>
      <c r="S334">
        <v>6</v>
      </c>
      <c r="T334" s="2">
        <v>0.2</v>
      </c>
      <c r="U334" t="s">
        <v>2026</v>
      </c>
      <c r="V334" t="str">
        <f>CHOOSE(MOD(SalesData[[#This Row],[Row ID]]-1,8)+1,"Aarav Sharma","Ananya Singh","Rohan Verma","Priya Gupta","Arjun Mehta","Neha Kapoor","Rahul Joshi","Sneha Patel")</f>
        <v>Sneha Patel</v>
      </c>
      <c r="W33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34" s="8">
        <f>IFERROR(VALUE(SUBSTITUTE(SUBSTITUTE(SalesData[[#This Row],[Profit]],"$",""),",",""))/VALUE(SUBSTITUTE(SUBSTITUTE(SalesData[[#This Row],[Sales]],"$",""),",","")),0)</f>
        <v>-6.7704835460040289E-2</v>
      </c>
      <c r="Y334" s="6">
        <f>IFERROR(VALUE(SUBSTITUTE(SUBSTITUTE(SalesData[[#This Row],[Sales]],"$",""),",",""))/SalesData[[#This Row],[Quantity]],0)</f>
        <v>39.706666666666671</v>
      </c>
      <c r="Z334">
        <f>YEAR(SalesData[[#This Row],[Order Date]])</f>
        <v>2023</v>
      </c>
      <c r="AA334" t="str">
        <f>TEXT(SalesData[[#This Row],[Order Date]],"mmm")</f>
        <v>Aug</v>
      </c>
      <c r="AB33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35" spans="1:28">
      <c r="A335">
        <v>253</v>
      </c>
      <c r="B335" t="s">
        <v>2027</v>
      </c>
      <c r="C335" s="1">
        <v>45169</v>
      </c>
      <c r="D335" s="1">
        <v>45171</v>
      </c>
      <c r="E335" t="s">
        <v>49</v>
      </c>
      <c r="F335" t="s">
        <v>2028</v>
      </c>
      <c r="G335" t="s">
        <v>2029</v>
      </c>
      <c r="H335" t="s">
        <v>39</v>
      </c>
      <c r="I335" t="s">
        <v>26</v>
      </c>
      <c r="J335" t="s">
        <v>157</v>
      </c>
      <c r="K335" t="s">
        <v>157</v>
      </c>
      <c r="L335">
        <v>50469</v>
      </c>
      <c r="M335" t="s">
        <v>62</v>
      </c>
      <c r="N335" t="s">
        <v>2030</v>
      </c>
      <c r="O335" t="s">
        <v>43</v>
      </c>
      <c r="P335" t="s">
        <v>166</v>
      </c>
      <c r="Q335" t="s">
        <v>2031</v>
      </c>
      <c r="R335" t="s">
        <v>2032</v>
      </c>
      <c r="S335">
        <v>4</v>
      </c>
      <c r="T335" s="2">
        <v>0.1</v>
      </c>
      <c r="U335" t="s">
        <v>2033</v>
      </c>
      <c r="V335" t="str">
        <f>CHOOSE(MOD(SalesData[[#This Row],[Row ID]]-1,8)+1,"Aarav Sharma","Ananya Singh","Rohan Verma","Priya Gupta","Arjun Mehta","Neha Kapoor","Rahul Joshi","Sneha Patel")</f>
        <v>Arjun Mehta</v>
      </c>
      <c r="W33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35" s="8">
        <f>IFERROR(VALUE(SUBSTITUTE(SUBSTITUTE(SalesData[[#This Row],[Profit]],"$",""),",",""))/VALUE(SUBSTITUTE(SUBSTITUTE(SalesData[[#This Row],[Sales]],"$",""),",","")),0)</f>
        <v>0.12757814161173719</v>
      </c>
      <c r="Y335" s="6">
        <f>IFERROR(VALUE(SUBSTITUTE(SUBSTITUTE(SalesData[[#This Row],[Sales]],"$",""),",",""))/SalesData[[#This Row],[Quantity]],0)</f>
        <v>11.7575</v>
      </c>
      <c r="Z335">
        <f>YEAR(SalesData[[#This Row],[Order Date]])</f>
        <v>2023</v>
      </c>
      <c r="AA335" t="str">
        <f>TEXT(SalesData[[#This Row],[Order Date]],"mmm")</f>
        <v>Aug</v>
      </c>
      <c r="AB33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36" spans="1:28">
      <c r="A336">
        <v>236</v>
      </c>
      <c r="B336" t="s">
        <v>2034</v>
      </c>
      <c r="C336" s="1">
        <v>45169</v>
      </c>
      <c r="D336" s="1">
        <v>45172</v>
      </c>
      <c r="E336" t="s">
        <v>49</v>
      </c>
      <c r="F336" t="s">
        <v>2035</v>
      </c>
      <c r="G336" t="s">
        <v>203</v>
      </c>
      <c r="H336" t="s">
        <v>39</v>
      </c>
      <c r="I336" t="s">
        <v>26</v>
      </c>
      <c r="J336" t="s">
        <v>61</v>
      </c>
      <c r="K336" t="s">
        <v>61</v>
      </c>
      <c r="L336">
        <v>41027</v>
      </c>
      <c r="M336" t="s">
        <v>62</v>
      </c>
      <c r="N336" t="s">
        <v>2036</v>
      </c>
      <c r="O336" t="s">
        <v>64</v>
      </c>
      <c r="P336" t="s">
        <v>65</v>
      </c>
      <c r="Q336" t="s">
        <v>2037</v>
      </c>
      <c r="R336" t="s">
        <v>2038</v>
      </c>
      <c r="S336">
        <v>4</v>
      </c>
      <c r="T336" s="2">
        <v>0.2</v>
      </c>
      <c r="U336" t="s">
        <v>2039</v>
      </c>
      <c r="V336" t="str">
        <f>CHOOSE(MOD(SalesData[[#This Row],[Row ID]]-1,8)+1,"Aarav Sharma","Ananya Singh","Rohan Verma","Priya Gupta","Arjun Mehta","Neha Kapoor","Rahul Joshi","Sneha Patel")</f>
        <v>Priya Gupta</v>
      </c>
      <c r="W33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36" s="8">
        <f>IFERROR(VALUE(SUBSTITUTE(SUBSTITUTE(SalesData[[#This Row],[Profit]],"$",""),",",""))/VALUE(SUBSTITUTE(SUBSTITUTE(SalesData[[#This Row],[Sales]],"$",""),",","")),0)</f>
        <v>0.20404593756187711</v>
      </c>
      <c r="Y336" s="6">
        <f>IFERROR(VALUE(SUBSTITUTE(SUBSTITUTE(SalesData[[#This Row],[Sales]],"$",""),",",""))/SalesData[[#This Row],[Quantity]],0)</f>
        <v>75.754999999999995</v>
      </c>
      <c r="Z336">
        <f>YEAR(SalesData[[#This Row],[Order Date]])</f>
        <v>2023</v>
      </c>
      <c r="AA336" t="str">
        <f>TEXT(SalesData[[#This Row],[Order Date]],"mmm")</f>
        <v>Aug</v>
      </c>
      <c r="AB33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37" spans="1:28">
      <c r="A337">
        <v>316</v>
      </c>
      <c r="B337" t="s">
        <v>2040</v>
      </c>
      <c r="C337" s="1">
        <v>45170</v>
      </c>
      <c r="D337" s="1">
        <v>45172</v>
      </c>
      <c r="E337" t="s">
        <v>36</v>
      </c>
      <c r="F337" t="s">
        <v>2041</v>
      </c>
      <c r="G337" t="s">
        <v>458</v>
      </c>
      <c r="H337" t="s">
        <v>25</v>
      </c>
      <c r="I337" t="s">
        <v>26</v>
      </c>
      <c r="J337" t="s">
        <v>173</v>
      </c>
      <c r="K337" t="s">
        <v>173</v>
      </c>
      <c r="L337">
        <v>78244</v>
      </c>
      <c r="M337" t="s">
        <v>73</v>
      </c>
      <c r="N337" t="s">
        <v>2042</v>
      </c>
      <c r="O337" t="s">
        <v>64</v>
      </c>
      <c r="P337" t="s">
        <v>105</v>
      </c>
      <c r="Q337" t="s">
        <v>2043</v>
      </c>
      <c r="R337" t="s">
        <v>2044</v>
      </c>
      <c r="S337">
        <v>6</v>
      </c>
      <c r="T337" s="2">
        <v>0.05</v>
      </c>
      <c r="U337" t="s">
        <v>2045</v>
      </c>
      <c r="V337" t="str">
        <f>CHOOSE(MOD(SalesData[[#This Row],[Row ID]]-1,8)+1,"Aarav Sharma","Ananya Singh","Rohan Verma","Priya Gupta","Arjun Mehta","Neha Kapoor","Rahul Joshi","Sneha Patel")</f>
        <v>Priya Gupta</v>
      </c>
      <c r="W33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37" s="8">
        <f>IFERROR(VALUE(SUBSTITUTE(SUBSTITUTE(SalesData[[#This Row],[Profit]],"$",""),",",""))/VALUE(SUBSTITUTE(SUBSTITUTE(SalesData[[#This Row],[Sales]],"$",""),",","")),0)</f>
        <v>0.24333099333099334</v>
      </c>
      <c r="Y337" s="6">
        <f>IFERROR(VALUE(SUBSTITUTE(SUBSTITUTE(SalesData[[#This Row],[Sales]],"$",""),",",""))/SalesData[[#This Row],[Quantity]],0)</f>
        <v>18.993333333333332</v>
      </c>
      <c r="Z337">
        <f>YEAR(SalesData[[#This Row],[Order Date]])</f>
        <v>2023</v>
      </c>
      <c r="AA337" t="str">
        <f>TEXT(SalesData[[#This Row],[Order Date]],"mmm")</f>
        <v>Sep</v>
      </c>
      <c r="AB33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38" spans="1:28">
      <c r="A338">
        <v>400</v>
      </c>
      <c r="B338" t="s">
        <v>2046</v>
      </c>
      <c r="C338" s="1">
        <v>45173</v>
      </c>
      <c r="D338" s="1">
        <v>45176</v>
      </c>
      <c r="E338" t="s">
        <v>36</v>
      </c>
      <c r="F338" t="s">
        <v>2047</v>
      </c>
      <c r="G338" t="s">
        <v>384</v>
      </c>
      <c r="H338" t="s">
        <v>25</v>
      </c>
      <c r="I338" t="s">
        <v>26</v>
      </c>
      <c r="J338" t="s">
        <v>641</v>
      </c>
      <c r="K338" t="s">
        <v>641</v>
      </c>
      <c r="L338">
        <v>86631</v>
      </c>
      <c r="M338" t="s">
        <v>62</v>
      </c>
      <c r="N338" t="s">
        <v>953</v>
      </c>
      <c r="O338" t="s">
        <v>43</v>
      </c>
      <c r="P338" t="s">
        <v>44</v>
      </c>
      <c r="Q338" t="s">
        <v>1420</v>
      </c>
      <c r="R338" t="s">
        <v>2048</v>
      </c>
      <c r="S338">
        <v>6</v>
      </c>
      <c r="T338" s="2">
        <v>0.3</v>
      </c>
      <c r="U338" t="s">
        <v>2049</v>
      </c>
      <c r="V338" t="str">
        <f>CHOOSE(MOD(SalesData[[#This Row],[Row ID]]-1,8)+1,"Aarav Sharma","Ananya Singh","Rohan Verma","Priya Gupta","Arjun Mehta","Neha Kapoor","Rahul Joshi","Sneha Patel")</f>
        <v>Sneha Patel</v>
      </c>
      <c r="W33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38" s="8">
        <f>IFERROR(VALUE(SUBSTITUTE(SUBSTITUTE(SalesData[[#This Row],[Profit]],"$",""),",",""))/VALUE(SUBSTITUTE(SUBSTITUTE(SalesData[[#This Row],[Sales]],"$",""),",","")),0)</f>
        <v>-2.056607615556913E-2</v>
      </c>
      <c r="Y338" s="6">
        <f>IFERROR(VALUE(SUBSTITUTE(SUBSTITUTE(SalesData[[#This Row],[Sales]],"$",""),",",""))/SalesData[[#This Row],[Quantity]],0)</f>
        <v>8.1850000000000005</v>
      </c>
      <c r="Z338">
        <f>YEAR(SalesData[[#This Row],[Order Date]])</f>
        <v>2023</v>
      </c>
      <c r="AA338" t="str">
        <f>TEXT(SalesData[[#This Row],[Order Date]],"mmm")</f>
        <v>Sep</v>
      </c>
      <c r="AB33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39" spans="1:28">
      <c r="A339">
        <v>238</v>
      </c>
      <c r="B339" t="s">
        <v>2050</v>
      </c>
      <c r="C339" s="1">
        <v>45176</v>
      </c>
      <c r="D339" s="1">
        <v>45178</v>
      </c>
      <c r="E339" t="s">
        <v>36</v>
      </c>
      <c r="F339" t="s">
        <v>2051</v>
      </c>
      <c r="G339" t="s">
        <v>713</v>
      </c>
      <c r="H339" t="s">
        <v>39</v>
      </c>
      <c r="I339" t="s">
        <v>26</v>
      </c>
      <c r="J339" t="s">
        <v>229</v>
      </c>
      <c r="K339" t="s">
        <v>229</v>
      </c>
      <c r="L339">
        <v>33383</v>
      </c>
      <c r="M339" t="s">
        <v>73</v>
      </c>
      <c r="N339" t="s">
        <v>1728</v>
      </c>
      <c r="O339" t="s">
        <v>30</v>
      </c>
      <c r="P339" t="s">
        <v>197</v>
      </c>
      <c r="Q339" t="s">
        <v>2052</v>
      </c>
      <c r="R339" t="s">
        <v>2053</v>
      </c>
      <c r="S339">
        <v>5</v>
      </c>
      <c r="T339" s="2">
        <v>0.3</v>
      </c>
      <c r="U339" t="s">
        <v>2054</v>
      </c>
      <c r="V339" t="str">
        <f>CHOOSE(MOD(SalesData[[#This Row],[Row ID]]-1,8)+1,"Aarav Sharma","Ananya Singh","Rohan Verma","Priya Gupta","Arjun Mehta","Neha Kapoor","Rahul Joshi","Sneha Patel")</f>
        <v>Neha Kapoor</v>
      </c>
      <c r="W33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39" s="8">
        <f>IFERROR(VALUE(SUBSTITUTE(SUBSTITUTE(SalesData[[#This Row],[Profit]],"$",""),",",""))/VALUE(SUBSTITUTE(SUBSTITUTE(SalesData[[#This Row],[Sales]],"$",""),",","")),0)</f>
        <v>2.9007205015439318E-2</v>
      </c>
      <c r="Y339" s="6">
        <f>IFERROR(VALUE(SUBSTITUTE(SUBSTITUTE(SalesData[[#This Row],[Sales]],"$",""),",",""))/SalesData[[#This Row],[Quantity]],0)</f>
        <v>42.748000000000005</v>
      </c>
      <c r="Z339">
        <f>YEAR(SalesData[[#This Row],[Order Date]])</f>
        <v>2023</v>
      </c>
      <c r="AA339" t="str">
        <f>TEXT(SalesData[[#This Row],[Order Date]],"mmm")</f>
        <v>Sep</v>
      </c>
      <c r="AB33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40" spans="1:28">
      <c r="A340">
        <v>91</v>
      </c>
      <c r="B340" t="s">
        <v>2055</v>
      </c>
      <c r="C340" s="1">
        <v>45181</v>
      </c>
      <c r="D340" s="1">
        <v>45184</v>
      </c>
      <c r="E340" t="s">
        <v>36</v>
      </c>
      <c r="F340" t="s">
        <v>2056</v>
      </c>
      <c r="G340" t="s">
        <v>876</v>
      </c>
      <c r="H340" t="s">
        <v>25</v>
      </c>
      <c r="I340" t="s">
        <v>26</v>
      </c>
      <c r="J340" t="s">
        <v>204</v>
      </c>
      <c r="K340" t="s">
        <v>204</v>
      </c>
      <c r="L340">
        <v>45057</v>
      </c>
      <c r="M340" t="s">
        <v>28</v>
      </c>
      <c r="N340" t="s">
        <v>2057</v>
      </c>
      <c r="O340" t="s">
        <v>30</v>
      </c>
      <c r="P340" t="s">
        <v>197</v>
      </c>
      <c r="Q340" t="s">
        <v>494</v>
      </c>
      <c r="R340" t="s">
        <v>2058</v>
      </c>
      <c r="S340">
        <v>1</v>
      </c>
      <c r="T340" s="2">
        <v>0.15</v>
      </c>
      <c r="U340" t="s">
        <v>2059</v>
      </c>
      <c r="V340" t="str">
        <f>CHOOSE(MOD(SalesData[[#This Row],[Row ID]]-1,8)+1,"Aarav Sharma","Ananya Singh","Rohan Verma","Priya Gupta","Arjun Mehta","Neha Kapoor","Rahul Joshi","Sneha Patel")</f>
        <v>Rohan Verma</v>
      </c>
      <c r="W34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40" s="8">
        <f>IFERROR(VALUE(SUBSTITUTE(SUBSTITUTE(SalesData[[#This Row],[Profit]],"$",""),",",""))/VALUE(SUBSTITUTE(SUBSTITUTE(SalesData[[#This Row],[Sales]],"$",""),",","")),0)</f>
        <v>3.8858143886610665E-2</v>
      </c>
      <c r="Y340" s="6">
        <f>IFERROR(VALUE(SUBSTITUTE(SUBSTITUTE(SalesData[[#This Row],[Sales]],"$",""),",",""))/SalesData[[#This Row],[Quantity]],0)</f>
        <v>251.17</v>
      </c>
      <c r="Z340">
        <f>YEAR(SalesData[[#This Row],[Order Date]])</f>
        <v>2023</v>
      </c>
      <c r="AA340" t="str">
        <f>TEXT(SalesData[[#This Row],[Order Date]],"mmm")</f>
        <v>Sep</v>
      </c>
      <c r="AB34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41" spans="1:28">
      <c r="A341">
        <v>439</v>
      </c>
      <c r="B341" t="s">
        <v>2060</v>
      </c>
      <c r="C341" s="1">
        <v>45182</v>
      </c>
      <c r="D341" s="1">
        <v>45184</v>
      </c>
      <c r="E341" t="s">
        <v>36</v>
      </c>
      <c r="F341" t="s">
        <v>2061</v>
      </c>
      <c r="G341" t="s">
        <v>1503</v>
      </c>
      <c r="H341" t="s">
        <v>25</v>
      </c>
      <c r="I341" t="s">
        <v>26</v>
      </c>
      <c r="J341" t="s">
        <v>72</v>
      </c>
      <c r="K341" t="s">
        <v>72</v>
      </c>
      <c r="L341">
        <v>42222</v>
      </c>
      <c r="M341" t="s">
        <v>73</v>
      </c>
      <c r="N341" t="s">
        <v>2062</v>
      </c>
      <c r="O341" t="s">
        <v>30</v>
      </c>
      <c r="P341" t="s">
        <v>197</v>
      </c>
      <c r="Q341" t="s">
        <v>2063</v>
      </c>
      <c r="R341" t="s">
        <v>2064</v>
      </c>
      <c r="S341">
        <v>7</v>
      </c>
      <c r="T341" s="2">
        <v>0.3</v>
      </c>
      <c r="U341" t="s">
        <v>2065</v>
      </c>
      <c r="V341" t="str">
        <f>CHOOSE(MOD(SalesData[[#This Row],[Row ID]]-1,8)+1,"Aarav Sharma","Ananya Singh","Rohan Verma","Priya Gupta","Arjun Mehta","Neha Kapoor","Rahul Joshi","Sneha Patel")</f>
        <v>Rahul Joshi</v>
      </c>
      <c r="W34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41" s="8">
        <f>IFERROR(VALUE(SUBSTITUTE(SUBSTITUTE(SalesData[[#This Row],[Profit]],"$",""),",",""))/VALUE(SUBSTITUTE(SUBSTITUTE(SalesData[[#This Row],[Sales]],"$",""),",","")),0)</f>
        <v>-9.7519850393942176E-2</v>
      </c>
      <c r="Y341" s="6">
        <f>IFERROR(VALUE(SUBSTITUTE(SUBSTITUTE(SalesData[[#This Row],[Sales]],"$",""),",",""))/SalesData[[#This Row],[Quantity]],0)</f>
        <v>46.598571428571425</v>
      </c>
      <c r="Z341">
        <f>YEAR(SalesData[[#This Row],[Order Date]])</f>
        <v>2023</v>
      </c>
      <c r="AA341" t="str">
        <f>TEXT(SalesData[[#This Row],[Order Date]],"mmm")</f>
        <v>Sep</v>
      </c>
      <c r="AB34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42" spans="1:28">
      <c r="A342">
        <v>468</v>
      </c>
      <c r="B342" t="s">
        <v>2066</v>
      </c>
      <c r="C342" s="1">
        <v>45184</v>
      </c>
      <c r="D342" s="1">
        <v>45190</v>
      </c>
      <c r="E342" t="s">
        <v>49</v>
      </c>
      <c r="F342" t="s">
        <v>2067</v>
      </c>
      <c r="G342" t="s">
        <v>329</v>
      </c>
      <c r="H342" t="s">
        <v>25</v>
      </c>
      <c r="I342" t="s">
        <v>26</v>
      </c>
      <c r="J342" t="s">
        <v>150</v>
      </c>
      <c r="K342" t="s">
        <v>150</v>
      </c>
      <c r="L342">
        <v>22612</v>
      </c>
      <c r="M342" t="s">
        <v>73</v>
      </c>
      <c r="N342" t="s">
        <v>2068</v>
      </c>
      <c r="O342" t="s">
        <v>43</v>
      </c>
      <c r="P342" t="s">
        <v>166</v>
      </c>
      <c r="Q342" t="s">
        <v>459</v>
      </c>
      <c r="R342" t="s">
        <v>2069</v>
      </c>
      <c r="S342">
        <v>3</v>
      </c>
      <c r="T342" s="2">
        <v>0.1</v>
      </c>
      <c r="U342" t="s">
        <v>131</v>
      </c>
      <c r="V342" t="str">
        <f>CHOOSE(MOD(SalesData[[#This Row],[Row ID]]-1,8)+1,"Aarav Sharma","Ananya Singh","Rohan Verma","Priya Gupta","Arjun Mehta","Neha Kapoor","Rahul Joshi","Sneha Patel")</f>
        <v>Priya Gupta</v>
      </c>
      <c r="W34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42" s="8">
        <f>IFERROR(VALUE(SUBSTITUTE(SUBSTITUTE(SalesData[[#This Row],[Profit]],"$",""),",",""))/VALUE(SUBSTITUTE(SUBSTITUTE(SalesData[[#This Row],[Sales]],"$",""),",","")),0)</f>
        <v>0.13286867204695524</v>
      </c>
      <c r="Y342" s="6">
        <f>IFERROR(VALUE(SUBSTITUTE(SUBSTITUTE(SalesData[[#This Row],[Sales]],"$",""),",",""))/SalesData[[#This Row],[Quantity]],0)</f>
        <v>45.433333333333337</v>
      </c>
      <c r="Z342">
        <f>YEAR(SalesData[[#This Row],[Order Date]])</f>
        <v>2023</v>
      </c>
      <c r="AA342" t="str">
        <f>TEXT(SalesData[[#This Row],[Order Date]],"mmm")</f>
        <v>Sep</v>
      </c>
      <c r="AB34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43" spans="1:28">
      <c r="A343">
        <v>467</v>
      </c>
      <c r="B343" t="s">
        <v>2070</v>
      </c>
      <c r="C343" s="1">
        <v>45187</v>
      </c>
      <c r="D343" s="1">
        <v>45191</v>
      </c>
      <c r="E343" t="s">
        <v>36</v>
      </c>
      <c r="F343" t="s">
        <v>2071</v>
      </c>
      <c r="G343" t="s">
        <v>1519</v>
      </c>
      <c r="H343" t="s">
        <v>25</v>
      </c>
      <c r="I343" t="s">
        <v>26</v>
      </c>
      <c r="J343" t="s">
        <v>173</v>
      </c>
      <c r="K343" t="s">
        <v>173</v>
      </c>
      <c r="L343">
        <v>83914</v>
      </c>
      <c r="M343" t="s">
        <v>73</v>
      </c>
      <c r="N343" t="s">
        <v>2072</v>
      </c>
      <c r="O343" t="s">
        <v>30</v>
      </c>
      <c r="P343" t="s">
        <v>222</v>
      </c>
      <c r="Q343" t="s">
        <v>934</v>
      </c>
      <c r="R343" t="s">
        <v>2073</v>
      </c>
      <c r="S343">
        <v>2</v>
      </c>
      <c r="T343" s="2">
        <v>0.4</v>
      </c>
      <c r="U343" t="s">
        <v>2074</v>
      </c>
      <c r="V343" t="str">
        <f>CHOOSE(MOD(SalesData[[#This Row],[Row ID]]-1,8)+1,"Aarav Sharma","Ananya Singh","Rohan Verma","Priya Gupta","Arjun Mehta","Neha Kapoor","Rahul Joshi","Sneha Patel")</f>
        <v>Rohan Verma</v>
      </c>
      <c r="W34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43" s="8">
        <f>IFERROR(VALUE(SUBSTITUTE(SUBSTITUTE(SalesData[[#This Row],[Profit]],"$",""),",",""))/VALUE(SUBSTITUTE(SUBSTITUTE(SalesData[[#This Row],[Sales]],"$",""),",","")),0)</f>
        <v>-0.10061068702290075</v>
      </c>
      <c r="Y343" s="6">
        <f>IFERROR(VALUE(SUBSTITUTE(SUBSTITUTE(SalesData[[#This Row],[Sales]],"$",""),",",""))/SalesData[[#This Row],[Quantity]],0)</f>
        <v>98.25</v>
      </c>
      <c r="Z343">
        <f>YEAR(SalesData[[#This Row],[Order Date]])</f>
        <v>2023</v>
      </c>
      <c r="AA343" t="str">
        <f>TEXT(SalesData[[#This Row],[Order Date]],"mmm")</f>
        <v>Sep</v>
      </c>
      <c r="AB34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44" spans="1:28">
      <c r="A344">
        <v>590</v>
      </c>
      <c r="B344" t="s">
        <v>2075</v>
      </c>
      <c r="C344" s="1">
        <v>45188</v>
      </c>
      <c r="D344" s="1">
        <v>45190</v>
      </c>
      <c r="E344" t="s">
        <v>36</v>
      </c>
      <c r="F344" t="s">
        <v>2076</v>
      </c>
      <c r="G344" t="s">
        <v>1226</v>
      </c>
      <c r="H344" t="s">
        <v>60</v>
      </c>
      <c r="I344" t="s">
        <v>26</v>
      </c>
      <c r="J344" t="s">
        <v>301</v>
      </c>
      <c r="K344" t="s">
        <v>301</v>
      </c>
      <c r="L344">
        <v>14781</v>
      </c>
      <c r="M344" t="s">
        <v>73</v>
      </c>
      <c r="N344" t="s">
        <v>2077</v>
      </c>
      <c r="O344" t="s">
        <v>64</v>
      </c>
      <c r="P344" t="s">
        <v>65</v>
      </c>
      <c r="Q344" t="s">
        <v>1052</v>
      </c>
      <c r="R344" t="s">
        <v>847</v>
      </c>
      <c r="S344">
        <v>1</v>
      </c>
      <c r="T344" s="2">
        <v>0.3</v>
      </c>
      <c r="U344" t="s">
        <v>2078</v>
      </c>
      <c r="V344" t="str">
        <f>CHOOSE(MOD(SalesData[[#This Row],[Row ID]]-1,8)+1,"Aarav Sharma","Ananya Singh","Rohan Verma","Priya Gupta","Arjun Mehta","Neha Kapoor","Rahul Joshi","Sneha Patel")</f>
        <v>Neha Kapoor</v>
      </c>
      <c r="W34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44" s="8">
        <f>IFERROR(VALUE(SUBSTITUTE(SUBSTITUTE(SalesData[[#This Row],[Profit]],"$",""),",",""))/VALUE(SUBSTITUTE(SUBSTITUTE(SalesData[[#This Row],[Sales]],"$",""),",","")),0)</f>
        <v>8.0953247225759514E-2</v>
      </c>
      <c r="Y344" s="6">
        <f>IFERROR(VALUE(SUBSTITUTE(SUBSTITUTE(SalesData[[#This Row],[Sales]],"$",""),",",""))/SalesData[[#This Row],[Quantity]],0)</f>
        <v>54.97</v>
      </c>
      <c r="Z344">
        <f>YEAR(SalesData[[#This Row],[Order Date]])</f>
        <v>2023</v>
      </c>
      <c r="AA344" t="str">
        <f>TEXT(SalesData[[#This Row],[Order Date]],"mmm")</f>
        <v>Sep</v>
      </c>
      <c r="AB34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45" spans="1:28">
      <c r="A345">
        <v>67</v>
      </c>
      <c r="B345" t="s">
        <v>2079</v>
      </c>
      <c r="C345" s="1">
        <v>45190</v>
      </c>
      <c r="D345" s="1">
        <v>45194</v>
      </c>
      <c r="E345" t="s">
        <v>49</v>
      </c>
      <c r="F345" t="s">
        <v>2080</v>
      </c>
      <c r="G345" t="s">
        <v>1496</v>
      </c>
      <c r="H345" t="s">
        <v>25</v>
      </c>
      <c r="I345" t="s">
        <v>26</v>
      </c>
      <c r="J345" t="s">
        <v>40</v>
      </c>
      <c r="K345" t="s">
        <v>40</v>
      </c>
      <c r="L345">
        <v>67132</v>
      </c>
      <c r="M345" t="s">
        <v>41</v>
      </c>
      <c r="N345" t="s">
        <v>2081</v>
      </c>
      <c r="O345" t="s">
        <v>64</v>
      </c>
      <c r="P345" t="s">
        <v>136</v>
      </c>
      <c r="Q345" t="s">
        <v>2082</v>
      </c>
      <c r="R345" t="s">
        <v>2083</v>
      </c>
      <c r="S345">
        <v>1</v>
      </c>
      <c r="T345" s="2">
        <v>0.2</v>
      </c>
      <c r="U345" t="s">
        <v>2084</v>
      </c>
      <c r="V345" t="str">
        <f>CHOOSE(MOD(SalesData[[#This Row],[Row ID]]-1,8)+1,"Aarav Sharma","Ananya Singh","Rohan Verma","Priya Gupta","Arjun Mehta","Neha Kapoor","Rahul Joshi","Sneha Patel")</f>
        <v>Rohan Verma</v>
      </c>
      <c r="W34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45" s="8">
        <f>IFERROR(VALUE(SUBSTITUTE(SUBSTITUTE(SalesData[[#This Row],[Profit]],"$",""),",",""))/VALUE(SUBSTITUTE(SUBSTITUTE(SalesData[[#This Row],[Sales]],"$",""),",","")),0)</f>
        <v>0.1448948450872421</v>
      </c>
      <c r="Y345" s="6">
        <f>IFERROR(VALUE(SUBSTITUTE(SUBSTITUTE(SalesData[[#This Row],[Sales]],"$",""),",",""))/SalesData[[#This Row],[Quantity]],0)</f>
        <v>150.72999999999999</v>
      </c>
      <c r="Z345">
        <f>YEAR(SalesData[[#This Row],[Order Date]])</f>
        <v>2023</v>
      </c>
      <c r="AA345" t="str">
        <f>TEXT(SalesData[[#This Row],[Order Date]],"mmm")</f>
        <v>Sep</v>
      </c>
      <c r="AB34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46" spans="1:28">
      <c r="A346">
        <v>485</v>
      </c>
      <c r="B346" t="s">
        <v>2085</v>
      </c>
      <c r="C346" s="1">
        <v>45200</v>
      </c>
      <c r="D346" s="1">
        <v>45203</v>
      </c>
      <c r="E346" t="s">
        <v>36</v>
      </c>
      <c r="F346" t="s">
        <v>2086</v>
      </c>
      <c r="G346" t="s">
        <v>336</v>
      </c>
      <c r="H346" t="s">
        <v>25</v>
      </c>
      <c r="I346" t="s">
        <v>26</v>
      </c>
      <c r="J346" t="s">
        <v>150</v>
      </c>
      <c r="K346" t="s">
        <v>150</v>
      </c>
      <c r="L346">
        <v>28157</v>
      </c>
      <c r="M346" t="s">
        <v>73</v>
      </c>
      <c r="N346" t="s">
        <v>2062</v>
      </c>
      <c r="O346" t="s">
        <v>30</v>
      </c>
      <c r="P346" t="s">
        <v>222</v>
      </c>
      <c r="Q346" t="s">
        <v>288</v>
      </c>
      <c r="R346" t="s">
        <v>2087</v>
      </c>
      <c r="S346">
        <v>1</v>
      </c>
      <c r="T346" s="2">
        <v>0.1</v>
      </c>
      <c r="U346" t="s">
        <v>2088</v>
      </c>
      <c r="V346" t="str">
        <f>CHOOSE(MOD(SalesData[[#This Row],[Row ID]]-1,8)+1,"Aarav Sharma","Ananya Singh","Rohan Verma","Priya Gupta","Arjun Mehta","Neha Kapoor","Rahul Joshi","Sneha Patel")</f>
        <v>Arjun Mehta</v>
      </c>
      <c r="W34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46" s="8">
        <f>IFERROR(VALUE(SUBSTITUTE(SUBSTITUTE(SalesData[[#This Row],[Profit]],"$",""),",",""))/VALUE(SUBSTITUTE(SUBSTITUTE(SalesData[[#This Row],[Sales]],"$",""),",","")),0)</f>
        <v>0.16247978436657681</v>
      </c>
      <c r="Y346" s="6">
        <f>IFERROR(VALUE(SUBSTITUTE(SUBSTITUTE(SalesData[[#This Row],[Sales]],"$",""),",",""))/SalesData[[#This Row],[Quantity]],0)</f>
        <v>92.75</v>
      </c>
      <c r="Z346">
        <f>YEAR(SalesData[[#This Row],[Order Date]])</f>
        <v>2023</v>
      </c>
      <c r="AA346" t="str">
        <f>TEXT(SalesData[[#This Row],[Order Date]],"mmm")</f>
        <v>Oct</v>
      </c>
      <c r="AB34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47" spans="1:28">
      <c r="A347">
        <v>386</v>
      </c>
      <c r="B347" t="s">
        <v>2089</v>
      </c>
      <c r="C347" s="1">
        <v>45200</v>
      </c>
      <c r="D347" s="1">
        <v>45204</v>
      </c>
      <c r="E347" t="s">
        <v>36</v>
      </c>
      <c r="F347" t="s">
        <v>2090</v>
      </c>
      <c r="G347" t="s">
        <v>1452</v>
      </c>
      <c r="H347" t="s">
        <v>39</v>
      </c>
      <c r="I347" t="s">
        <v>26</v>
      </c>
      <c r="J347" t="s">
        <v>363</v>
      </c>
      <c r="K347" t="s">
        <v>363</v>
      </c>
      <c r="L347">
        <v>15796</v>
      </c>
      <c r="M347" t="s">
        <v>62</v>
      </c>
      <c r="N347" t="s">
        <v>2091</v>
      </c>
      <c r="O347" t="s">
        <v>64</v>
      </c>
      <c r="P347" t="s">
        <v>105</v>
      </c>
      <c r="Q347" t="s">
        <v>2092</v>
      </c>
      <c r="R347" t="s">
        <v>2093</v>
      </c>
      <c r="S347">
        <v>3</v>
      </c>
      <c r="T347" s="2">
        <v>0.05</v>
      </c>
      <c r="U347" t="s">
        <v>1908</v>
      </c>
      <c r="V347" t="str">
        <f>CHOOSE(MOD(SalesData[[#This Row],[Row ID]]-1,8)+1,"Aarav Sharma","Ananya Singh","Rohan Verma","Priya Gupta","Arjun Mehta","Neha Kapoor","Rahul Joshi","Sneha Patel")</f>
        <v>Ananya Singh</v>
      </c>
      <c r="W34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47" s="8">
        <f>IFERROR(VALUE(SUBSTITUTE(SUBSTITUTE(SalesData[[#This Row],[Profit]],"$",""),",",""))/VALUE(SUBSTITUTE(SUBSTITUTE(SalesData[[#This Row],[Sales]],"$",""),",","")),0)</f>
        <v>0.15855319578267671</v>
      </c>
      <c r="Y347" s="6">
        <f>IFERROR(VALUE(SUBSTITUTE(SUBSTITUTE(SalesData[[#This Row],[Sales]],"$",""),",",""))/SalesData[[#This Row],[Quantity]],0)</f>
        <v>66.076666666666668</v>
      </c>
      <c r="Z347">
        <f>YEAR(SalesData[[#This Row],[Order Date]])</f>
        <v>2023</v>
      </c>
      <c r="AA347" t="str">
        <f>TEXT(SalesData[[#This Row],[Order Date]],"mmm")</f>
        <v>Oct</v>
      </c>
      <c r="AB34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48" spans="1:28">
      <c r="A348">
        <v>438</v>
      </c>
      <c r="B348" t="s">
        <v>2094</v>
      </c>
      <c r="C348" s="1">
        <v>45200</v>
      </c>
      <c r="D348" s="1">
        <v>45206</v>
      </c>
      <c r="E348" t="s">
        <v>36</v>
      </c>
      <c r="F348" t="s">
        <v>2095</v>
      </c>
      <c r="G348" t="s">
        <v>707</v>
      </c>
      <c r="H348" t="s">
        <v>25</v>
      </c>
      <c r="I348" t="s">
        <v>26</v>
      </c>
      <c r="J348" t="s">
        <v>641</v>
      </c>
      <c r="K348" t="s">
        <v>641</v>
      </c>
      <c r="L348">
        <v>20974</v>
      </c>
      <c r="M348" t="s">
        <v>62</v>
      </c>
      <c r="N348" t="s">
        <v>2096</v>
      </c>
      <c r="O348" t="s">
        <v>30</v>
      </c>
      <c r="P348" t="s">
        <v>31</v>
      </c>
      <c r="Q348" t="s">
        <v>2097</v>
      </c>
      <c r="R348" t="s">
        <v>2098</v>
      </c>
      <c r="S348">
        <v>4</v>
      </c>
      <c r="T348" s="2">
        <v>0.3</v>
      </c>
      <c r="U348" t="s">
        <v>2099</v>
      </c>
      <c r="V348" t="str">
        <f>CHOOSE(MOD(SalesData[[#This Row],[Row ID]]-1,8)+1,"Aarav Sharma","Ananya Singh","Rohan Verma","Priya Gupta","Arjun Mehta","Neha Kapoor","Rahul Joshi","Sneha Patel")</f>
        <v>Neha Kapoor</v>
      </c>
      <c r="W34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48" s="8">
        <f>IFERROR(VALUE(SUBSTITUTE(SUBSTITUTE(SalesData[[#This Row],[Profit]],"$",""),",",""))/VALUE(SUBSTITUTE(SUBSTITUTE(SalesData[[#This Row],[Sales]],"$",""),",","")),0)</f>
        <v>-4.2553191489361701E-2</v>
      </c>
      <c r="Y348" s="6">
        <f>IFERROR(VALUE(SUBSTITUTE(SUBSTITUTE(SalesData[[#This Row],[Sales]],"$",""),",",""))/SalesData[[#This Row],[Quantity]],0)</f>
        <v>5.875</v>
      </c>
      <c r="Z348">
        <f>YEAR(SalesData[[#This Row],[Order Date]])</f>
        <v>2023</v>
      </c>
      <c r="AA348" t="str">
        <f>TEXT(SalesData[[#This Row],[Order Date]],"mmm")</f>
        <v>Oct</v>
      </c>
      <c r="AB34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49" spans="1:28">
      <c r="A349">
        <v>474</v>
      </c>
      <c r="B349" t="s">
        <v>2100</v>
      </c>
      <c r="C349" s="1">
        <v>45205</v>
      </c>
      <c r="D349" s="1">
        <v>45207</v>
      </c>
      <c r="E349" t="s">
        <v>36</v>
      </c>
      <c r="F349" t="s">
        <v>2101</v>
      </c>
      <c r="G349" t="s">
        <v>458</v>
      </c>
      <c r="H349" t="s">
        <v>39</v>
      </c>
      <c r="I349" t="s">
        <v>26</v>
      </c>
      <c r="J349" t="s">
        <v>229</v>
      </c>
      <c r="K349" t="s">
        <v>229</v>
      </c>
      <c r="L349">
        <v>88287</v>
      </c>
      <c r="M349" t="s">
        <v>73</v>
      </c>
      <c r="N349" t="s">
        <v>1342</v>
      </c>
      <c r="O349" t="s">
        <v>30</v>
      </c>
      <c r="P349" t="s">
        <v>120</v>
      </c>
      <c r="Q349" t="s">
        <v>2102</v>
      </c>
      <c r="R349" t="s">
        <v>2103</v>
      </c>
      <c r="S349">
        <v>1</v>
      </c>
      <c r="T349" s="2">
        <v>0.2</v>
      </c>
      <c r="U349" t="s">
        <v>2104</v>
      </c>
      <c r="V349" t="str">
        <f>CHOOSE(MOD(SalesData[[#This Row],[Row ID]]-1,8)+1,"Aarav Sharma","Ananya Singh","Rohan Verma","Priya Gupta","Arjun Mehta","Neha Kapoor","Rahul Joshi","Sneha Patel")</f>
        <v>Ananya Singh</v>
      </c>
      <c r="W34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49" s="8">
        <f>IFERROR(VALUE(SUBSTITUTE(SUBSTITUTE(SalesData[[#This Row],[Profit]],"$",""),",",""))/VALUE(SUBSTITUTE(SUBSTITUTE(SalesData[[#This Row],[Sales]],"$",""),",","")),0)</f>
        <v>2.4304445155100732E-2</v>
      </c>
      <c r="Y349" s="6">
        <f>IFERROR(VALUE(SUBSTITUTE(SUBSTITUTE(SalesData[[#This Row],[Sales]],"$",""),",",""))/SalesData[[#This Row],[Quantity]],0)</f>
        <v>187.62</v>
      </c>
      <c r="Z349">
        <f>YEAR(SalesData[[#This Row],[Order Date]])</f>
        <v>2023</v>
      </c>
      <c r="AA349" t="str">
        <f>TEXT(SalesData[[#This Row],[Order Date]],"mmm")</f>
        <v>Oct</v>
      </c>
      <c r="AB34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50" spans="1:28">
      <c r="A350">
        <v>138</v>
      </c>
      <c r="B350" t="s">
        <v>2105</v>
      </c>
      <c r="C350" s="1">
        <v>45207</v>
      </c>
      <c r="D350" s="1">
        <v>45211</v>
      </c>
      <c r="E350" t="s">
        <v>36</v>
      </c>
      <c r="F350" t="s">
        <v>2106</v>
      </c>
      <c r="G350" t="s">
        <v>244</v>
      </c>
      <c r="H350" t="s">
        <v>60</v>
      </c>
      <c r="I350" t="s">
        <v>26</v>
      </c>
      <c r="J350" t="s">
        <v>212</v>
      </c>
      <c r="K350" t="s">
        <v>212</v>
      </c>
      <c r="L350">
        <v>55096</v>
      </c>
      <c r="M350" t="s">
        <v>28</v>
      </c>
      <c r="N350" t="s">
        <v>2107</v>
      </c>
      <c r="O350" t="s">
        <v>64</v>
      </c>
      <c r="P350" t="s">
        <v>136</v>
      </c>
      <c r="Q350" t="s">
        <v>372</v>
      </c>
      <c r="R350" t="s">
        <v>2108</v>
      </c>
      <c r="S350">
        <v>6</v>
      </c>
      <c r="T350" s="2">
        <v>0.3</v>
      </c>
      <c r="U350" t="s">
        <v>2109</v>
      </c>
      <c r="V350" t="str">
        <f>CHOOSE(MOD(SalesData[[#This Row],[Row ID]]-1,8)+1,"Aarav Sharma","Ananya Singh","Rohan Verma","Priya Gupta","Arjun Mehta","Neha Kapoor","Rahul Joshi","Sneha Patel")</f>
        <v>Ananya Singh</v>
      </c>
      <c r="W35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50" s="8">
        <f>IFERROR(VALUE(SUBSTITUTE(SUBSTITUTE(SalesData[[#This Row],[Profit]],"$",""),",",""))/VALUE(SUBSTITUTE(SUBSTITUTE(SalesData[[#This Row],[Sales]],"$",""),",","")),0)</f>
        <v>-4.9848287819679237E-3</v>
      </c>
      <c r="Y350" s="6">
        <f>IFERROR(VALUE(SUBSTITUTE(SUBSTITUTE(SalesData[[#This Row],[Sales]],"$",""),",",""))/SalesData[[#This Row],[Quantity]],0)</f>
        <v>46.139999999999993</v>
      </c>
      <c r="Z350">
        <f>YEAR(SalesData[[#This Row],[Order Date]])</f>
        <v>2023</v>
      </c>
      <c r="AA350" t="str">
        <f>TEXT(SalesData[[#This Row],[Order Date]],"mmm")</f>
        <v>Oct</v>
      </c>
      <c r="AB35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51" spans="1:28">
      <c r="A351">
        <v>473</v>
      </c>
      <c r="B351" t="s">
        <v>2110</v>
      </c>
      <c r="C351" s="1">
        <v>45208</v>
      </c>
      <c r="D351" s="1">
        <v>45213</v>
      </c>
      <c r="E351" t="s">
        <v>36</v>
      </c>
      <c r="F351" t="s">
        <v>2111</v>
      </c>
      <c r="G351" t="s">
        <v>713</v>
      </c>
      <c r="H351" t="s">
        <v>60</v>
      </c>
      <c r="I351" t="s">
        <v>26</v>
      </c>
      <c r="J351" t="s">
        <v>438</v>
      </c>
      <c r="K351" t="s">
        <v>438</v>
      </c>
      <c r="L351">
        <v>56874</v>
      </c>
      <c r="M351" t="s">
        <v>28</v>
      </c>
      <c r="N351" t="s">
        <v>2112</v>
      </c>
      <c r="O351" t="s">
        <v>43</v>
      </c>
      <c r="P351" t="s">
        <v>166</v>
      </c>
      <c r="Q351" t="s">
        <v>1594</v>
      </c>
      <c r="R351" t="s">
        <v>1179</v>
      </c>
      <c r="S351">
        <v>6</v>
      </c>
      <c r="T351" s="2">
        <v>0.2</v>
      </c>
      <c r="U351" t="s">
        <v>2113</v>
      </c>
      <c r="V351" t="str">
        <f>CHOOSE(MOD(SalesData[[#This Row],[Row ID]]-1,8)+1,"Aarav Sharma","Ananya Singh","Rohan Verma","Priya Gupta","Arjun Mehta","Neha Kapoor","Rahul Joshi","Sneha Patel")</f>
        <v>Aarav Sharma</v>
      </c>
      <c r="W35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51" s="8">
        <f>IFERROR(VALUE(SUBSTITUTE(SUBSTITUTE(SalesData[[#This Row],[Profit]],"$",""),",",""))/VALUE(SUBSTITUTE(SUBSTITUTE(SalesData[[#This Row],[Sales]],"$",""),",","")),0)</f>
        <v>6.8811438784629142E-2</v>
      </c>
      <c r="Y351" s="6">
        <f>IFERROR(VALUE(SUBSTITUTE(SUBSTITUTE(SalesData[[#This Row],[Sales]],"$",""),",",""))/SalesData[[#This Row],[Quantity]],0)</f>
        <v>1.865</v>
      </c>
      <c r="Z351">
        <f>YEAR(SalesData[[#This Row],[Order Date]])</f>
        <v>2023</v>
      </c>
      <c r="AA351" t="str">
        <f>TEXT(SalesData[[#This Row],[Order Date]],"mmm")</f>
        <v>Oct</v>
      </c>
      <c r="AB35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52" spans="1:28">
      <c r="A352">
        <v>271</v>
      </c>
      <c r="B352" t="s">
        <v>2114</v>
      </c>
      <c r="C352" s="1">
        <v>45214</v>
      </c>
      <c r="D352" s="1">
        <v>45218</v>
      </c>
      <c r="E352" t="s">
        <v>49</v>
      </c>
      <c r="F352" t="s">
        <v>2115</v>
      </c>
      <c r="G352" t="s">
        <v>775</v>
      </c>
      <c r="H352" t="s">
        <v>25</v>
      </c>
      <c r="I352" t="s">
        <v>26</v>
      </c>
      <c r="J352" t="s">
        <v>72</v>
      </c>
      <c r="K352" t="s">
        <v>72</v>
      </c>
      <c r="L352">
        <v>23331</v>
      </c>
      <c r="M352" t="s">
        <v>73</v>
      </c>
      <c r="N352" t="s">
        <v>2116</v>
      </c>
      <c r="O352" t="s">
        <v>30</v>
      </c>
      <c r="P352" t="s">
        <v>120</v>
      </c>
      <c r="Q352" t="s">
        <v>2117</v>
      </c>
      <c r="R352" t="s">
        <v>2118</v>
      </c>
      <c r="S352">
        <v>4</v>
      </c>
      <c r="T352" s="2">
        <v>0.15</v>
      </c>
      <c r="U352" t="s">
        <v>2119</v>
      </c>
      <c r="V352" t="str">
        <f>CHOOSE(MOD(SalesData[[#This Row],[Row ID]]-1,8)+1,"Aarav Sharma","Ananya Singh","Rohan Verma","Priya Gupta","Arjun Mehta","Neha Kapoor","Rahul Joshi","Sneha Patel")</f>
        <v>Rahul Joshi</v>
      </c>
      <c r="W35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52" s="8">
        <f>IFERROR(VALUE(SUBSTITUTE(SUBSTITUTE(SalesData[[#This Row],[Profit]],"$",""),",",""))/VALUE(SUBSTITUTE(SUBSTITUTE(SalesData[[#This Row],[Sales]],"$",""),",","")),0)</f>
        <v>-8.8076626665198731E-3</v>
      </c>
      <c r="Y352" s="6">
        <f>IFERROR(VALUE(SUBSTITUTE(SUBSTITUTE(SalesData[[#This Row],[Sales]],"$",""),",",""))/SalesData[[#This Row],[Quantity]],0)</f>
        <v>22.7075</v>
      </c>
      <c r="Z352">
        <f>YEAR(SalesData[[#This Row],[Order Date]])</f>
        <v>2023</v>
      </c>
      <c r="AA352" t="str">
        <f>TEXT(SalesData[[#This Row],[Order Date]],"mmm")</f>
        <v>Oct</v>
      </c>
      <c r="AB35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53" spans="1:28">
      <c r="A353">
        <v>32</v>
      </c>
      <c r="B353" t="s">
        <v>2120</v>
      </c>
      <c r="C353" s="1">
        <v>45217</v>
      </c>
      <c r="D353" s="1">
        <v>45221</v>
      </c>
      <c r="E353" t="s">
        <v>36</v>
      </c>
      <c r="F353" t="s">
        <v>2121</v>
      </c>
      <c r="G353" t="s">
        <v>2122</v>
      </c>
      <c r="H353" t="s">
        <v>25</v>
      </c>
      <c r="I353" t="s">
        <v>26</v>
      </c>
      <c r="J353" t="s">
        <v>40</v>
      </c>
      <c r="K353" t="s">
        <v>40</v>
      </c>
      <c r="L353">
        <v>14835</v>
      </c>
      <c r="M353" t="s">
        <v>41</v>
      </c>
      <c r="N353" t="s">
        <v>595</v>
      </c>
      <c r="O353" t="s">
        <v>30</v>
      </c>
      <c r="P353" t="s">
        <v>120</v>
      </c>
      <c r="Q353" t="s">
        <v>2123</v>
      </c>
      <c r="R353" t="s">
        <v>2124</v>
      </c>
      <c r="S353">
        <v>2</v>
      </c>
      <c r="T353" s="2">
        <v>0.05</v>
      </c>
      <c r="U353" t="s">
        <v>2125</v>
      </c>
      <c r="V353" t="str">
        <f>CHOOSE(MOD(SalesData[[#This Row],[Row ID]]-1,8)+1,"Aarav Sharma","Ananya Singh","Rohan Verma","Priya Gupta","Arjun Mehta","Neha Kapoor","Rahul Joshi","Sneha Patel")</f>
        <v>Sneha Patel</v>
      </c>
      <c r="W35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53" s="8">
        <f>IFERROR(VALUE(SUBSTITUTE(SUBSTITUTE(SalesData[[#This Row],[Profit]],"$",""),",",""))/VALUE(SUBSTITUTE(SUBSTITUTE(SalesData[[#This Row],[Sales]],"$",""),",","")),0)</f>
        <v>1.1975293079541156E-2</v>
      </c>
      <c r="Y353" s="6">
        <f>IFERROR(VALUE(SUBSTITUTE(SUBSTITUTE(SalesData[[#This Row],[Sales]],"$",""),",",""))/SalesData[[#This Row],[Quantity]],0)</f>
        <v>39.664999999999999</v>
      </c>
      <c r="Z353">
        <f>YEAR(SalesData[[#This Row],[Order Date]])</f>
        <v>2023</v>
      </c>
      <c r="AA353" t="str">
        <f>TEXT(SalesData[[#This Row],[Order Date]],"mmm")</f>
        <v>Oct</v>
      </c>
      <c r="AB35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54" spans="1:28">
      <c r="A354">
        <v>584</v>
      </c>
      <c r="B354" t="s">
        <v>2126</v>
      </c>
      <c r="C354" s="1">
        <v>45219</v>
      </c>
      <c r="D354" s="1">
        <v>45221</v>
      </c>
      <c r="E354" t="s">
        <v>36</v>
      </c>
      <c r="F354" t="s">
        <v>2127</v>
      </c>
      <c r="G354" t="s">
        <v>1572</v>
      </c>
      <c r="H354" t="s">
        <v>60</v>
      </c>
      <c r="I354" t="s">
        <v>26</v>
      </c>
      <c r="J354" t="s">
        <v>157</v>
      </c>
      <c r="K354" t="s">
        <v>157</v>
      </c>
      <c r="L354">
        <v>11999</v>
      </c>
      <c r="M354" t="s">
        <v>62</v>
      </c>
      <c r="N354" t="s">
        <v>1526</v>
      </c>
      <c r="O354" t="s">
        <v>43</v>
      </c>
      <c r="P354" t="s">
        <v>44</v>
      </c>
      <c r="Q354" t="s">
        <v>1420</v>
      </c>
      <c r="R354" t="s">
        <v>2128</v>
      </c>
      <c r="S354">
        <v>6</v>
      </c>
      <c r="T354" s="2">
        <v>0.1</v>
      </c>
      <c r="U354" t="s">
        <v>2129</v>
      </c>
      <c r="V354" t="str">
        <f>CHOOSE(MOD(SalesData[[#This Row],[Row ID]]-1,8)+1,"Aarav Sharma","Ananya Singh","Rohan Verma","Priya Gupta","Arjun Mehta","Neha Kapoor","Rahul Joshi","Sneha Patel")</f>
        <v>Sneha Patel</v>
      </c>
      <c r="W35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54" s="8">
        <f>IFERROR(VALUE(SUBSTITUTE(SUBSTITUTE(SalesData[[#This Row],[Profit]],"$",""),",",""))/VALUE(SUBSTITUTE(SUBSTITUTE(SalesData[[#This Row],[Sales]],"$",""),",","")),0)</f>
        <v>0.22186810492767836</v>
      </c>
      <c r="Y354" s="6">
        <f>IFERROR(VALUE(SUBSTITUTE(SUBSTITUTE(SalesData[[#This Row],[Sales]],"$",""),",",""))/SalesData[[#This Row],[Quantity]],0)</f>
        <v>13.596666666666666</v>
      </c>
      <c r="Z354">
        <f>YEAR(SalesData[[#This Row],[Order Date]])</f>
        <v>2023</v>
      </c>
      <c r="AA354" t="str">
        <f>TEXT(SalesData[[#This Row],[Order Date]],"mmm")</f>
        <v>Oct</v>
      </c>
      <c r="AB35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55" spans="1:28">
      <c r="A355">
        <v>142</v>
      </c>
      <c r="B355" t="s">
        <v>2130</v>
      </c>
      <c r="C355" s="1">
        <v>45223</v>
      </c>
      <c r="D355" s="1">
        <v>45228</v>
      </c>
      <c r="E355" t="s">
        <v>49</v>
      </c>
      <c r="F355" t="s">
        <v>2131</v>
      </c>
      <c r="G355" t="s">
        <v>648</v>
      </c>
      <c r="H355" t="s">
        <v>39</v>
      </c>
      <c r="I355" t="s">
        <v>26</v>
      </c>
      <c r="J355" t="s">
        <v>40</v>
      </c>
      <c r="K355" t="s">
        <v>40</v>
      </c>
      <c r="L355">
        <v>62142</v>
      </c>
      <c r="M355" t="s">
        <v>41</v>
      </c>
      <c r="N355" t="s">
        <v>2132</v>
      </c>
      <c r="O355" t="s">
        <v>64</v>
      </c>
      <c r="P355" t="s">
        <v>405</v>
      </c>
      <c r="Q355" t="s">
        <v>480</v>
      </c>
      <c r="R355" t="s">
        <v>2133</v>
      </c>
      <c r="S355">
        <v>6</v>
      </c>
      <c r="T355" s="2">
        <v>0.2</v>
      </c>
      <c r="U355" t="s">
        <v>2134</v>
      </c>
      <c r="V355" t="str">
        <f>CHOOSE(MOD(SalesData[[#This Row],[Row ID]]-1,8)+1,"Aarav Sharma","Ananya Singh","Rohan Verma","Priya Gupta","Arjun Mehta","Neha Kapoor","Rahul Joshi","Sneha Patel")</f>
        <v>Neha Kapoor</v>
      </c>
      <c r="W35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55" s="8">
        <f>IFERROR(VALUE(SUBSTITUTE(SUBSTITUTE(SalesData[[#This Row],[Profit]],"$",""),",",""))/VALUE(SUBSTITUTE(SUBSTITUTE(SalesData[[#This Row],[Sales]],"$",""),",","")),0)</f>
        <v>0.14497722486163492</v>
      </c>
      <c r="Y355" s="6">
        <f>IFERROR(VALUE(SUBSTITUTE(SUBSTITUTE(SalesData[[#This Row],[Sales]],"$",""),",",""))/SalesData[[#This Row],[Quantity]],0)</f>
        <v>34.028333333333329</v>
      </c>
      <c r="Z355">
        <f>YEAR(SalesData[[#This Row],[Order Date]])</f>
        <v>2023</v>
      </c>
      <c r="AA355" t="str">
        <f>TEXT(SalesData[[#This Row],[Order Date]],"mmm")</f>
        <v>Oct</v>
      </c>
      <c r="AB35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56" spans="1:28">
      <c r="A356">
        <v>558</v>
      </c>
      <c r="B356" t="s">
        <v>2135</v>
      </c>
      <c r="C356" s="1">
        <v>45229</v>
      </c>
      <c r="D356" s="1">
        <v>45232</v>
      </c>
      <c r="E356" t="s">
        <v>22</v>
      </c>
      <c r="F356" t="s">
        <v>2136</v>
      </c>
      <c r="G356" t="s">
        <v>244</v>
      </c>
      <c r="H356" t="s">
        <v>60</v>
      </c>
      <c r="I356" t="s">
        <v>26</v>
      </c>
      <c r="J356" t="s">
        <v>52</v>
      </c>
      <c r="K356" t="s">
        <v>52</v>
      </c>
      <c r="L356">
        <v>77936</v>
      </c>
      <c r="M356" t="s">
        <v>41</v>
      </c>
      <c r="N356" t="s">
        <v>2137</v>
      </c>
      <c r="O356" t="s">
        <v>30</v>
      </c>
      <c r="P356" t="s">
        <v>31</v>
      </c>
      <c r="Q356" t="s">
        <v>386</v>
      </c>
      <c r="R356" t="s">
        <v>2138</v>
      </c>
      <c r="S356">
        <v>6</v>
      </c>
      <c r="T356" s="2">
        <v>0.1</v>
      </c>
      <c r="U356" t="s">
        <v>558</v>
      </c>
      <c r="V356" t="str">
        <f>CHOOSE(MOD(SalesData[[#This Row],[Row ID]]-1,8)+1,"Aarav Sharma","Ananya Singh","Rohan Verma","Priya Gupta","Arjun Mehta","Neha Kapoor","Rahul Joshi","Sneha Patel")</f>
        <v>Neha Kapoor</v>
      </c>
      <c r="W35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56" s="8">
        <f>IFERROR(VALUE(SUBSTITUTE(SUBSTITUTE(SalesData[[#This Row],[Profit]],"$",""),",",""))/VALUE(SUBSTITUTE(SUBSTITUTE(SalesData[[#This Row],[Sales]],"$",""),",","")),0)</f>
        <v>-9.658770445572477E-3</v>
      </c>
      <c r="Y356" s="6">
        <f>IFERROR(VALUE(SUBSTITUTE(SUBSTITUTE(SalesData[[#This Row],[Sales]],"$",""),",",""))/SalesData[[#This Row],[Quantity]],0)</f>
        <v>47.28</v>
      </c>
      <c r="Z356">
        <f>YEAR(SalesData[[#This Row],[Order Date]])</f>
        <v>2023</v>
      </c>
      <c r="AA356" t="str">
        <f>TEXT(SalesData[[#This Row],[Order Date]],"mmm")</f>
        <v>Oct</v>
      </c>
      <c r="AB35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57" spans="1:28">
      <c r="A357">
        <v>137</v>
      </c>
      <c r="B357" t="s">
        <v>2139</v>
      </c>
      <c r="C357" s="1">
        <v>45231</v>
      </c>
      <c r="D357" s="1">
        <v>45235</v>
      </c>
      <c r="E357" t="s">
        <v>36</v>
      </c>
      <c r="F357" t="s">
        <v>2140</v>
      </c>
      <c r="G357" t="s">
        <v>1110</v>
      </c>
      <c r="H357" t="s">
        <v>25</v>
      </c>
      <c r="I357" t="s">
        <v>26</v>
      </c>
      <c r="J357" t="s">
        <v>96</v>
      </c>
      <c r="K357" t="s">
        <v>96</v>
      </c>
      <c r="L357">
        <v>19587</v>
      </c>
      <c r="M357" t="s">
        <v>28</v>
      </c>
      <c r="N357" t="s">
        <v>2141</v>
      </c>
      <c r="O357" t="s">
        <v>64</v>
      </c>
      <c r="P357" t="s">
        <v>136</v>
      </c>
      <c r="Q357" t="s">
        <v>765</v>
      </c>
      <c r="R357" t="s">
        <v>2142</v>
      </c>
      <c r="S357">
        <v>3</v>
      </c>
      <c r="T357" s="2">
        <v>0.15</v>
      </c>
      <c r="U357" t="s">
        <v>2143</v>
      </c>
      <c r="V357" t="str">
        <f>CHOOSE(MOD(SalesData[[#This Row],[Row ID]]-1,8)+1,"Aarav Sharma","Ananya Singh","Rohan Verma","Priya Gupta","Arjun Mehta","Neha Kapoor","Rahul Joshi","Sneha Patel")</f>
        <v>Aarav Sharma</v>
      </c>
      <c r="W35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57" s="8">
        <f>IFERROR(VALUE(SUBSTITUTE(SUBSTITUTE(SalesData[[#This Row],[Profit]],"$",""),",",""))/VALUE(SUBSTITUTE(SUBSTITUTE(SalesData[[#This Row],[Sales]],"$",""),",","")),0)</f>
        <v>0.17857986386962402</v>
      </c>
      <c r="Y357" s="6">
        <f>IFERROR(VALUE(SUBSTITUTE(SUBSTITUTE(SalesData[[#This Row],[Sales]],"$",""),",",""))/SalesData[[#This Row],[Quantity]],0)</f>
        <v>155.24333333333334</v>
      </c>
      <c r="Z357">
        <f>YEAR(SalesData[[#This Row],[Order Date]])</f>
        <v>2023</v>
      </c>
      <c r="AA357" t="str">
        <f>TEXT(SalesData[[#This Row],[Order Date]],"mmm")</f>
        <v>Nov</v>
      </c>
      <c r="AB35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58" spans="1:28">
      <c r="A358">
        <v>105</v>
      </c>
      <c r="B358" t="s">
        <v>2144</v>
      </c>
      <c r="C358" s="1">
        <v>45231</v>
      </c>
      <c r="D358" s="1">
        <v>45234</v>
      </c>
      <c r="E358" t="s">
        <v>49</v>
      </c>
      <c r="F358" t="s">
        <v>2145</v>
      </c>
      <c r="G358" t="s">
        <v>362</v>
      </c>
      <c r="H358" t="s">
        <v>39</v>
      </c>
      <c r="I358" t="s">
        <v>26</v>
      </c>
      <c r="J358" t="s">
        <v>212</v>
      </c>
      <c r="K358" t="s">
        <v>212</v>
      </c>
      <c r="L358">
        <v>86559</v>
      </c>
      <c r="M358" t="s">
        <v>28</v>
      </c>
      <c r="N358" t="s">
        <v>2146</v>
      </c>
      <c r="O358" t="s">
        <v>30</v>
      </c>
      <c r="P358" t="s">
        <v>120</v>
      </c>
      <c r="Q358" t="s">
        <v>2147</v>
      </c>
      <c r="R358" t="s">
        <v>2148</v>
      </c>
      <c r="S358">
        <v>4</v>
      </c>
      <c r="T358" s="2">
        <v>0.2</v>
      </c>
      <c r="U358" t="s">
        <v>2149</v>
      </c>
      <c r="V358" t="str">
        <f>CHOOSE(MOD(SalesData[[#This Row],[Row ID]]-1,8)+1,"Aarav Sharma","Ananya Singh","Rohan Verma","Priya Gupta","Arjun Mehta","Neha Kapoor","Rahul Joshi","Sneha Patel")</f>
        <v>Aarav Sharma</v>
      </c>
      <c r="W35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58" s="8">
        <f>IFERROR(VALUE(SUBSTITUTE(SUBSTITUTE(SalesData[[#This Row],[Profit]],"$",""),",",""))/VALUE(SUBSTITUTE(SUBSTITUTE(SalesData[[#This Row],[Sales]],"$",""),",","")),0)</f>
        <v>4.0470297029702972E-2</v>
      </c>
      <c r="Y358" s="6">
        <f>IFERROR(VALUE(SUBSTITUTE(SUBSTITUTE(SalesData[[#This Row],[Sales]],"$",""),",",""))/SalesData[[#This Row],[Quantity]],0)</f>
        <v>20.2</v>
      </c>
      <c r="Z358">
        <f>YEAR(SalesData[[#This Row],[Order Date]])</f>
        <v>2023</v>
      </c>
      <c r="AA358" t="str">
        <f>TEXT(SalesData[[#This Row],[Order Date]],"mmm")</f>
        <v>Nov</v>
      </c>
      <c r="AB35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59" spans="1:28">
      <c r="A359">
        <v>266</v>
      </c>
      <c r="B359" t="s">
        <v>2150</v>
      </c>
      <c r="C359" s="1">
        <v>45235</v>
      </c>
      <c r="D359" s="1">
        <v>45240</v>
      </c>
      <c r="E359" t="s">
        <v>36</v>
      </c>
      <c r="F359" t="s">
        <v>2151</v>
      </c>
      <c r="G359" t="s">
        <v>1076</v>
      </c>
      <c r="H359" t="s">
        <v>39</v>
      </c>
      <c r="I359" t="s">
        <v>26</v>
      </c>
      <c r="J359" t="s">
        <v>212</v>
      </c>
      <c r="K359" t="s">
        <v>212</v>
      </c>
      <c r="L359">
        <v>63370</v>
      </c>
      <c r="M359" t="s">
        <v>28</v>
      </c>
      <c r="N359" t="s">
        <v>2152</v>
      </c>
      <c r="O359" t="s">
        <v>30</v>
      </c>
      <c r="P359" t="s">
        <v>197</v>
      </c>
      <c r="Q359" t="s">
        <v>494</v>
      </c>
      <c r="R359" t="s">
        <v>2153</v>
      </c>
      <c r="S359">
        <v>1</v>
      </c>
      <c r="T359" s="2">
        <v>0.1</v>
      </c>
      <c r="U359" t="s">
        <v>2154</v>
      </c>
      <c r="V359" t="str">
        <f>CHOOSE(MOD(SalesData[[#This Row],[Row ID]]-1,8)+1,"Aarav Sharma","Ananya Singh","Rohan Verma","Priya Gupta","Arjun Mehta","Neha Kapoor","Rahul Joshi","Sneha Patel")</f>
        <v>Ananya Singh</v>
      </c>
      <c r="W35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59" s="8">
        <f>IFERROR(VALUE(SUBSTITUTE(SUBSTITUTE(SalesData[[#This Row],[Profit]],"$",""),",",""))/VALUE(SUBSTITUTE(SUBSTITUTE(SalesData[[#This Row],[Sales]],"$",""),",","")),0)</f>
        <v>9.6815464886152364E-2</v>
      </c>
      <c r="Y359" s="6">
        <f>IFERROR(VALUE(SUBSTITUTE(SUBSTITUTE(SalesData[[#This Row],[Sales]],"$",""),",",""))/SalesData[[#This Row],[Quantity]],0)</f>
        <v>500.23</v>
      </c>
      <c r="Z359">
        <f>YEAR(SalesData[[#This Row],[Order Date]])</f>
        <v>2023</v>
      </c>
      <c r="AA359" t="str">
        <f>TEXT(SalesData[[#This Row],[Order Date]],"mmm")</f>
        <v>Nov</v>
      </c>
      <c r="AB35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60" spans="1:28">
      <c r="A360">
        <v>512</v>
      </c>
      <c r="B360" t="s">
        <v>2155</v>
      </c>
      <c r="C360" s="1">
        <v>45237</v>
      </c>
      <c r="D360" s="1">
        <v>45239</v>
      </c>
      <c r="E360" t="s">
        <v>36</v>
      </c>
      <c r="F360" t="s">
        <v>2156</v>
      </c>
      <c r="G360" t="s">
        <v>757</v>
      </c>
      <c r="H360" t="s">
        <v>60</v>
      </c>
      <c r="I360" t="s">
        <v>26</v>
      </c>
      <c r="J360" t="s">
        <v>81</v>
      </c>
      <c r="K360" t="s">
        <v>81</v>
      </c>
      <c r="L360">
        <v>30534</v>
      </c>
      <c r="M360" t="s">
        <v>62</v>
      </c>
      <c r="N360" t="s">
        <v>2157</v>
      </c>
      <c r="O360" t="s">
        <v>43</v>
      </c>
      <c r="P360" t="s">
        <v>189</v>
      </c>
      <c r="Q360" t="s">
        <v>1631</v>
      </c>
      <c r="R360" t="s">
        <v>2158</v>
      </c>
      <c r="S360">
        <v>4</v>
      </c>
      <c r="T360" s="2">
        <v>0.5</v>
      </c>
      <c r="U360" t="s">
        <v>2159</v>
      </c>
      <c r="V360" t="str">
        <f>CHOOSE(MOD(SalesData[[#This Row],[Row ID]]-1,8)+1,"Aarav Sharma","Ananya Singh","Rohan Verma","Priya Gupta","Arjun Mehta","Neha Kapoor","Rahul Joshi","Sneha Patel")</f>
        <v>Sneha Patel</v>
      </c>
      <c r="W36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60" s="8">
        <f>IFERROR(VALUE(SUBSTITUTE(SUBSTITUTE(SalesData[[#This Row],[Profit]],"$",""),",",""))/VALUE(SUBSTITUTE(SUBSTITUTE(SalesData[[#This Row],[Sales]],"$",""),",","")),0)</f>
        <v>-0.17489447605065148</v>
      </c>
      <c r="Y360" s="6">
        <f>IFERROR(VALUE(SUBSTITUTE(SUBSTITUTE(SalesData[[#This Row],[Sales]],"$",""),",",""))/SalesData[[#This Row],[Quantity]],0)</f>
        <v>27.245000000000001</v>
      </c>
      <c r="Z360">
        <f>YEAR(SalesData[[#This Row],[Order Date]])</f>
        <v>2023</v>
      </c>
      <c r="AA360" t="str">
        <f>TEXT(SalesData[[#This Row],[Order Date]],"mmm")</f>
        <v>Nov</v>
      </c>
      <c r="AB36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61" spans="1:28">
      <c r="A361">
        <v>534</v>
      </c>
      <c r="B361" t="s">
        <v>2160</v>
      </c>
      <c r="C361" s="1">
        <v>45237</v>
      </c>
      <c r="D361" s="1">
        <v>45238</v>
      </c>
      <c r="E361" t="s">
        <v>49</v>
      </c>
      <c r="F361" t="s">
        <v>2161</v>
      </c>
      <c r="G361" t="s">
        <v>1025</v>
      </c>
      <c r="H361" t="s">
        <v>60</v>
      </c>
      <c r="I361" t="s">
        <v>26</v>
      </c>
      <c r="J361" t="s">
        <v>229</v>
      </c>
      <c r="K361" t="s">
        <v>229</v>
      </c>
      <c r="L361">
        <v>98306</v>
      </c>
      <c r="M361" t="s">
        <v>73</v>
      </c>
      <c r="N361" t="s">
        <v>2162</v>
      </c>
      <c r="O361" t="s">
        <v>43</v>
      </c>
      <c r="P361" t="s">
        <v>83</v>
      </c>
      <c r="Q361" t="s">
        <v>2163</v>
      </c>
      <c r="R361" t="s">
        <v>2164</v>
      </c>
      <c r="S361">
        <v>5</v>
      </c>
      <c r="T361" s="2">
        <v>0</v>
      </c>
      <c r="U361" t="s">
        <v>2165</v>
      </c>
      <c r="V361" t="str">
        <f>CHOOSE(MOD(SalesData[[#This Row],[Row ID]]-1,8)+1,"Aarav Sharma","Ananya Singh","Rohan Verma","Priya Gupta","Arjun Mehta","Neha Kapoor","Rahul Joshi","Sneha Patel")</f>
        <v>Neha Kapoor</v>
      </c>
      <c r="W36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61" s="8">
        <f>IFERROR(VALUE(SUBSTITUTE(SUBSTITUTE(SalesData[[#This Row],[Profit]],"$",""),",",""))/VALUE(SUBSTITUTE(SUBSTITUTE(SalesData[[#This Row],[Sales]],"$",""),",","")),0)</f>
        <v>0.11511492014024152</v>
      </c>
      <c r="Y361" s="6">
        <f>IFERROR(VALUE(SUBSTITUTE(SUBSTITUTE(SalesData[[#This Row],[Sales]],"$",""),",",""))/SalesData[[#This Row],[Quantity]],0)</f>
        <v>41.072000000000003</v>
      </c>
      <c r="Z361">
        <f>YEAR(SalesData[[#This Row],[Order Date]])</f>
        <v>2023</v>
      </c>
      <c r="AA361" t="str">
        <f>TEXT(SalesData[[#This Row],[Order Date]],"mmm")</f>
        <v>Nov</v>
      </c>
      <c r="AB36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62" spans="1:28">
      <c r="A362">
        <v>247</v>
      </c>
      <c r="B362" t="s">
        <v>2166</v>
      </c>
      <c r="C362" s="1">
        <v>45239</v>
      </c>
      <c r="D362" s="1">
        <v>45244</v>
      </c>
      <c r="E362" t="s">
        <v>36</v>
      </c>
      <c r="F362" t="s">
        <v>2167</v>
      </c>
      <c r="G362" t="s">
        <v>1758</v>
      </c>
      <c r="H362" t="s">
        <v>25</v>
      </c>
      <c r="I362" t="s">
        <v>26</v>
      </c>
      <c r="J362" t="s">
        <v>438</v>
      </c>
      <c r="K362" t="s">
        <v>438</v>
      </c>
      <c r="L362">
        <v>75333</v>
      </c>
      <c r="M362" t="s">
        <v>28</v>
      </c>
      <c r="N362" t="s">
        <v>2168</v>
      </c>
      <c r="O362" t="s">
        <v>43</v>
      </c>
      <c r="P362" t="s">
        <v>214</v>
      </c>
      <c r="Q362" t="s">
        <v>2169</v>
      </c>
      <c r="R362" t="s">
        <v>2170</v>
      </c>
      <c r="S362">
        <v>6</v>
      </c>
      <c r="T362" s="2">
        <v>0.4</v>
      </c>
      <c r="U362" t="s">
        <v>2171</v>
      </c>
      <c r="V362" t="str">
        <f>CHOOSE(MOD(SalesData[[#This Row],[Row ID]]-1,8)+1,"Aarav Sharma","Ananya Singh","Rohan Verma","Priya Gupta","Arjun Mehta","Neha Kapoor","Rahul Joshi","Sneha Patel")</f>
        <v>Rahul Joshi</v>
      </c>
      <c r="W36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62" s="8">
        <f>IFERROR(VALUE(SUBSTITUTE(SUBSTITUTE(SalesData[[#This Row],[Profit]],"$",""),",",""))/VALUE(SUBSTITUTE(SUBSTITUTE(SalesData[[#This Row],[Sales]],"$",""),",","")),0)</f>
        <v>-0.14331896551724141</v>
      </c>
      <c r="Y362" s="6">
        <f>IFERROR(VALUE(SUBSTITUTE(SUBSTITUTE(SalesData[[#This Row],[Sales]],"$",""),",",""))/SalesData[[#This Row],[Quantity]],0)</f>
        <v>3.0933333333333333</v>
      </c>
      <c r="Z362">
        <f>YEAR(SalesData[[#This Row],[Order Date]])</f>
        <v>2023</v>
      </c>
      <c r="AA362" t="str">
        <f>TEXT(SalesData[[#This Row],[Order Date]],"mmm")</f>
        <v>Nov</v>
      </c>
      <c r="AB36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63" spans="1:28">
      <c r="A363">
        <v>465</v>
      </c>
      <c r="B363" t="s">
        <v>2172</v>
      </c>
      <c r="C363" s="1">
        <v>45242</v>
      </c>
      <c r="D363" s="1">
        <v>45245</v>
      </c>
      <c r="E363" t="s">
        <v>22</v>
      </c>
      <c r="F363" t="s">
        <v>2173</v>
      </c>
      <c r="G363" t="s">
        <v>601</v>
      </c>
      <c r="H363" t="s">
        <v>60</v>
      </c>
      <c r="I363" t="s">
        <v>26</v>
      </c>
      <c r="J363" t="s">
        <v>52</v>
      </c>
      <c r="K363" t="s">
        <v>52</v>
      </c>
      <c r="L363">
        <v>52029</v>
      </c>
      <c r="M363" t="s">
        <v>41</v>
      </c>
      <c r="N363" t="s">
        <v>2174</v>
      </c>
      <c r="O363" t="s">
        <v>30</v>
      </c>
      <c r="P363" t="s">
        <v>31</v>
      </c>
      <c r="Q363" t="s">
        <v>726</v>
      </c>
      <c r="R363" t="s">
        <v>2175</v>
      </c>
      <c r="S363">
        <v>2</v>
      </c>
      <c r="T363" s="2">
        <v>0.4</v>
      </c>
      <c r="U363" t="s">
        <v>2176</v>
      </c>
      <c r="V363" t="str">
        <f>CHOOSE(MOD(SalesData[[#This Row],[Row ID]]-1,8)+1,"Aarav Sharma","Ananya Singh","Rohan Verma","Priya Gupta","Arjun Mehta","Neha Kapoor","Rahul Joshi","Sneha Patel")</f>
        <v>Aarav Sharma</v>
      </c>
      <c r="W36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63" s="8">
        <f>IFERROR(VALUE(SUBSTITUTE(SUBSTITUTE(SalesData[[#This Row],[Profit]],"$",""),",",""))/VALUE(SUBSTITUTE(SUBSTITUTE(SalesData[[#This Row],[Sales]],"$",""),",","")),0)</f>
        <v>-0.13580331933062459</v>
      </c>
      <c r="Y363" s="6">
        <f>IFERROR(VALUE(SUBSTITUTE(SUBSTITUTE(SalesData[[#This Row],[Sales]],"$",""),",",""))/SalesData[[#This Row],[Quantity]],0)</f>
        <v>72.605000000000004</v>
      </c>
      <c r="Z363">
        <f>YEAR(SalesData[[#This Row],[Order Date]])</f>
        <v>2023</v>
      </c>
      <c r="AA363" t="str">
        <f>TEXT(SalesData[[#This Row],[Order Date]],"mmm")</f>
        <v>Nov</v>
      </c>
      <c r="AB36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64" spans="1:28">
      <c r="A364">
        <v>256</v>
      </c>
      <c r="B364" t="s">
        <v>2177</v>
      </c>
      <c r="C364" s="1">
        <v>45246</v>
      </c>
      <c r="D364" s="1">
        <v>45249</v>
      </c>
      <c r="E364" t="s">
        <v>36</v>
      </c>
      <c r="F364" t="s">
        <v>2178</v>
      </c>
      <c r="G364" t="s">
        <v>1259</v>
      </c>
      <c r="H364" t="s">
        <v>25</v>
      </c>
      <c r="I364" t="s">
        <v>26</v>
      </c>
      <c r="J364" t="s">
        <v>229</v>
      </c>
      <c r="K364" t="s">
        <v>229</v>
      </c>
      <c r="L364">
        <v>26459</v>
      </c>
      <c r="M364" t="s">
        <v>73</v>
      </c>
      <c r="N364" t="s">
        <v>2179</v>
      </c>
      <c r="O364" t="s">
        <v>30</v>
      </c>
      <c r="P364" t="s">
        <v>120</v>
      </c>
      <c r="Q364" t="s">
        <v>2180</v>
      </c>
      <c r="R364" t="s">
        <v>2181</v>
      </c>
      <c r="S364">
        <v>3</v>
      </c>
      <c r="T364" s="2">
        <v>0.15</v>
      </c>
      <c r="U364" t="s">
        <v>2182</v>
      </c>
      <c r="V364" t="str">
        <f>CHOOSE(MOD(SalesData[[#This Row],[Row ID]]-1,8)+1,"Aarav Sharma","Ananya Singh","Rohan Verma","Priya Gupta","Arjun Mehta","Neha Kapoor","Rahul Joshi","Sneha Patel")</f>
        <v>Sneha Patel</v>
      </c>
      <c r="W36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64" s="8">
        <f>IFERROR(VALUE(SUBSTITUTE(SUBSTITUTE(SalesData[[#This Row],[Profit]],"$",""),",",""))/VALUE(SUBSTITUTE(SUBSTITUTE(SalesData[[#This Row],[Sales]],"$",""),",","")),0)</f>
        <v>4.1335929309570169E-2</v>
      </c>
      <c r="Y364" s="6">
        <f>IFERROR(VALUE(SUBSTITUTE(SUBSTITUTE(SalesData[[#This Row],[Sales]],"$",""),",",""))/SalesData[[#This Row],[Quantity]],0)</f>
        <v>22.256666666666664</v>
      </c>
      <c r="Z364">
        <f>YEAR(SalesData[[#This Row],[Order Date]])</f>
        <v>2023</v>
      </c>
      <c r="AA364" t="str">
        <f>TEXT(SalesData[[#This Row],[Order Date]],"mmm")</f>
        <v>Nov</v>
      </c>
      <c r="AB36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65" spans="1:28">
      <c r="A365">
        <v>86</v>
      </c>
      <c r="B365" t="s">
        <v>2183</v>
      </c>
      <c r="C365" s="1">
        <v>45246</v>
      </c>
      <c r="D365" s="1">
        <v>45248</v>
      </c>
      <c r="E365" t="s">
        <v>36</v>
      </c>
      <c r="F365" t="s">
        <v>2184</v>
      </c>
      <c r="G365" t="s">
        <v>683</v>
      </c>
      <c r="H365" t="s">
        <v>25</v>
      </c>
      <c r="I365" t="s">
        <v>26</v>
      </c>
      <c r="J365" t="s">
        <v>260</v>
      </c>
      <c r="K365" t="s">
        <v>260</v>
      </c>
      <c r="L365">
        <v>40027</v>
      </c>
      <c r="M365" t="s">
        <v>41</v>
      </c>
      <c r="N365" t="s">
        <v>1728</v>
      </c>
      <c r="O365" t="s">
        <v>43</v>
      </c>
      <c r="P365" t="s">
        <v>166</v>
      </c>
      <c r="Q365" t="s">
        <v>2185</v>
      </c>
      <c r="R365" t="s">
        <v>2186</v>
      </c>
      <c r="S365">
        <v>3</v>
      </c>
      <c r="T365" s="2">
        <v>0.05</v>
      </c>
      <c r="U365" t="s">
        <v>2187</v>
      </c>
      <c r="V365" t="str">
        <f>CHOOSE(MOD(SalesData[[#This Row],[Row ID]]-1,8)+1,"Aarav Sharma","Ananya Singh","Rohan Verma","Priya Gupta","Arjun Mehta","Neha Kapoor","Rahul Joshi","Sneha Patel")</f>
        <v>Neha Kapoor</v>
      </c>
      <c r="W36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65" s="8">
        <f>IFERROR(VALUE(SUBSTITUTE(SUBSTITUTE(SalesData[[#This Row],[Profit]],"$",""),",",""))/VALUE(SUBSTITUTE(SUBSTITUTE(SalesData[[#This Row],[Sales]],"$",""),",","")),0)</f>
        <v>0.17282809611829944</v>
      </c>
      <c r="Y365" s="6">
        <f>IFERROR(VALUE(SUBSTITUTE(SUBSTITUTE(SalesData[[#This Row],[Sales]],"$",""),",",""))/SalesData[[#This Row],[Quantity]],0)</f>
        <v>21.64</v>
      </c>
      <c r="Z365">
        <f>YEAR(SalesData[[#This Row],[Order Date]])</f>
        <v>2023</v>
      </c>
      <c r="AA365" t="str">
        <f>TEXT(SalesData[[#This Row],[Order Date]],"mmm")</f>
        <v>Nov</v>
      </c>
      <c r="AB36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66" spans="1:28">
      <c r="A366">
        <v>119</v>
      </c>
      <c r="B366" t="s">
        <v>2188</v>
      </c>
      <c r="C366" s="1">
        <v>45247</v>
      </c>
      <c r="D366" s="1">
        <v>45248</v>
      </c>
      <c r="E366" t="s">
        <v>22</v>
      </c>
      <c r="F366" t="s">
        <v>2189</v>
      </c>
      <c r="G366" t="s">
        <v>59</v>
      </c>
      <c r="H366" t="s">
        <v>25</v>
      </c>
      <c r="I366" t="s">
        <v>26</v>
      </c>
      <c r="J366" t="s">
        <v>301</v>
      </c>
      <c r="K366" t="s">
        <v>301</v>
      </c>
      <c r="L366">
        <v>65533</v>
      </c>
      <c r="M366" t="s">
        <v>73</v>
      </c>
      <c r="N366" t="s">
        <v>2190</v>
      </c>
      <c r="O366" t="s">
        <v>30</v>
      </c>
      <c r="P366" t="s">
        <v>120</v>
      </c>
      <c r="Q366" t="s">
        <v>1112</v>
      </c>
      <c r="R366" t="s">
        <v>2191</v>
      </c>
      <c r="S366">
        <v>5</v>
      </c>
      <c r="T366" s="2">
        <v>0.5</v>
      </c>
      <c r="U366" t="s">
        <v>2192</v>
      </c>
      <c r="V366" t="str">
        <f>CHOOSE(MOD(SalesData[[#This Row],[Row ID]]-1,8)+1,"Aarav Sharma","Ananya Singh","Rohan Verma","Priya Gupta","Arjun Mehta","Neha Kapoor","Rahul Joshi","Sneha Patel")</f>
        <v>Rahul Joshi</v>
      </c>
      <c r="W36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66" s="8">
        <f>IFERROR(VALUE(SUBSTITUTE(SUBSTITUTE(SalesData[[#This Row],[Profit]],"$",""),",",""))/VALUE(SUBSTITUTE(SUBSTITUTE(SalesData[[#This Row],[Sales]],"$",""),",","")),0)</f>
        <v>-0.17727887070130649</v>
      </c>
      <c r="Y366" s="6">
        <f>IFERROR(VALUE(SUBSTITUTE(SUBSTITUTE(SalesData[[#This Row],[Sales]],"$",""),",",""))/SalesData[[#This Row],[Quantity]],0)</f>
        <v>26.636000000000003</v>
      </c>
      <c r="Z366">
        <f>YEAR(SalesData[[#This Row],[Order Date]])</f>
        <v>2023</v>
      </c>
      <c r="AA366" t="str">
        <f>TEXT(SalesData[[#This Row],[Order Date]],"mmm")</f>
        <v>Nov</v>
      </c>
      <c r="AB36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67" spans="1:28">
      <c r="A367">
        <v>570</v>
      </c>
      <c r="B367" t="s">
        <v>2193</v>
      </c>
      <c r="C367" s="1">
        <v>45248</v>
      </c>
      <c r="D367" s="1">
        <v>45250</v>
      </c>
      <c r="E367" t="s">
        <v>49</v>
      </c>
      <c r="F367" t="s">
        <v>2194</v>
      </c>
      <c r="G367" t="s">
        <v>757</v>
      </c>
      <c r="H367" t="s">
        <v>25</v>
      </c>
      <c r="I367" t="s">
        <v>26</v>
      </c>
      <c r="J367" t="s">
        <v>237</v>
      </c>
      <c r="K367" t="s">
        <v>237</v>
      </c>
      <c r="L367">
        <v>28361</v>
      </c>
      <c r="M367" t="s">
        <v>41</v>
      </c>
      <c r="N367" t="s">
        <v>2195</v>
      </c>
      <c r="O367" t="s">
        <v>64</v>
      </c>
      <c r="P367" t="s">
        <v>405</v>
      </c>
      <c r="Q367" t="s">
        <v>1300</v>
      </c>
      <c r="R367" t="s">
        <v>2196</v>
      </c>
      <c r="S367">
        <v>5</v>
      </c>
      <c r="T367" s="2">
        <v>0.15</v>
      </c>
      <c r="U367" t="s">
        <v>2197</v>
      </c>
      <c r="V367" t="str">
        <f>CHOOSE(MOD(SalesData[[#This Row],[Row ID]]-1,8)+1,"Aarav Sharma","Ananya Singh","Rohan Verma","Priya Gupta","Arjun Mehta","Neha Kapoor","Rahul Joshi","Sneha Patel")</f>
        <v>Ananya Singh</v>
      </c>
      <c r="W36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67" s="8">
        <f>IFERROR(VALUE(SUBSTITUTE(SUBSTITUTE(SalesData[[#This Row],[Profit]],"$",""),",",""))/VALUE(SUBSTITUTE(SUBSTITUTE(SalesData[[#This Row],[Sales]],"$",""),",","")),0)</f>
        <v>0.14149841481728684</v>
      </c>
      <c r="Y367" s="6">
        <f>IFERROR(VALUE(SUBSTITUTE(SUBSTITUTE(SalesData[[#This Row],[Sales]],"$",""),",",""))/SalesData[[#This Row],[Quantity]],0)</f>
        <v>11.986000000000001</v>
      </c>
      <c r="Z367">
        <f>YEAR(SalesData[[#This Row],[Order Date]])</f>
        <v>2023</v>
      </c>
      <c r="AA367" t="str">
        <f>TEXT(SalesData[[#This Row],[Order Date]],"mmm")</f>
        <v>Nov</v>
      </c>
      <c r="AB36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68" spans="1:28">
      <c r="A368">
        <v>219</v>
      </c>
      <c r="B368" t="s">
        <v>2198</v>
      </c>
      <c r="C368" s="1">
        <v>45251</v>
      </c>
      <c r="D368" s="1">
        <v>45255</v>
      </c>
      <c r="E368" t="s">
        <v>49</v>
      </c>
      <c r="F368" t="s">
        <v>2199</v>
      </c>
      <c r="G368" t="s">
        <v>2200</v>
      </c>
      <c r="H368" t="s">
        <v>25</v>
      </c>
      <c r="I368" t="s">
        <v>26</v>
      </c>
      <c r="J368" t="s">
        <v>150</v>
      </c>
      <c r="K368" t="s">
        <v>150</v>
      </c>
      <c r="L368">
        <v>85403</v>
      </c>
      <c r="M368" t="s">
        <v>73</v>
      </c>
      <c r="N368" t="s">
        <v>2201</v>
      </c>
      <c r="O368" t="s">
        <v>64</v>
      </c>
      <c r="P368" t="s">
        <v>405</v>
      </c>
      <c r="Q368" t="s">
        <v>1973</v>
      </c>
      <c r="R368" t="s">
        <v>2202</v>
      </c>
      <c r="S368">
        <v>2</v>
      </c>
      <c r="T368" s="2">
        <v>0.2</v>
      </c>
      <c r="U368" t="s">
        <v>2203</v>
      </c>
      <c r="V368" t="str">
        <f>CHOOSE(MOD(SalesData[[#This Row],[Row ID]]-1,8)+1,"Aarav Sharma","Ananya Singh","Rohan Verma","Priya Gupta","Arjun Mehta","Neha Kapoor","Rahul Joshi","Sneha Patel")</f>
        <v>Rohan Verma</v>
      </c>
      <c r="W36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68" s="8">
        <f>IFERROR(VALUE(SUBSTITUTE(SUBSTITUTE(SalesData[[#This Row],[Profit]],"$",""),",",""))/VALUE(SUBSTITUTE(SUBSTITUTE(SalesData[[#This Row],[Sales]],"$",""),",","")),0)</f>
        <v>0.17162052117263843</v>
      </c>
      <c r="Y368" s="6">
        <f>IFERROR(VALUE(SUBSTITUTE(SUBSTITUTE(SalesData[[#This Row],[Sales]],"$",""),",",""))/SalesData[[#This Row],[Quantity]],0)</f>
        <v>24.56</v>
      </c>
      <c r="Z368">
        <f>YEAR(SalesData[[#This Row],[Order Date]])</f>
        <v>2023</v>
      </c>
      <c r="AA368" t="str">
        <f>TEXT(SalesData[[#This Row],[Order Date]],"mmm")</f>
        <v>Nov</v>
      </c>
      <c r="AB36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69" spans="1:28">
      <c r="A369">
        <v>72</v>
      </c>
      <c r="B369" t="s">
        <v>2204</v>
      </c>
      <c r="C369" s="1">
        <v>45251</v>
      </c>
      <c r="D369" s="1">
        <v>45254</v>
      </c>
      <c r="E369" t="s">
        <v>49</v>
      </c>
      <c r="F369" t="s">
        <v>2205</v>
      </c>
      <c r="G369" t="s">
        <v>1625</v>
      </c>
      <c r="H369" t="s">
        <v>25</v>
      </c>
      <c r="I369" t="s">
        <v>26</v>
      </c>
      <c r="J369" t="s">
        <v>150</v>
      </c>
      <c r="K369" t="s">
        <v>150</v>
      </c>
      <c r="L369">
        <v>75160</v>
      </c>
      <c r="M369" t="s">
        <v>73</v>
      </c>
      <c r="N369" t="s">
        <v>2206</v>
      </c>
      <c r="O369" t="s">
        <v>30</v>
      </c>
      <c r="P369" t="s">
        <v>120</v>
      </c>
      <c r="Q369" t="s">
        <v>365</v>
      </c>
      <c r="R369" t="s">
        <v>2207</v>
      </c>
      <c r="S369">
        <v>2</v>
      </c>
      <c r="T369" s="2">
        <v>0.15</v>
      </c>
      <c r="U369" t="s">
        <v>2208</v>
      </c>
      <c r="V369" t="str">
        <f>CHOOSE(MOD(SalesData[[#This Row],[Row ID]]-1,8)+1,"Aarav Sharma","Ananya Singh","Rohan Verma","Priya Gupta","Arjun Mehta","Neha Kapoor","Rahul Joshi","Sneha Patel")</f>
        <v>Sneha Patel</v>
      </c>
      <c r="W36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69" s="8">
        <f>IFERROR(VALUE(SUBSTITUTE(SUBSTITUTE(SalesData[[#This Row],[Profit]],"$",""),",",""))/VALUE(SUBSTITUTE(SUBSTITUTE(SalesData[[#This Row],[Sales]],"$",""),",","")),0)</f>
        <v>0.11470814824528333</v>
      </c>
      <c r="Y369" s="6">
        <f>IFERROR(VALUE(SUBSTITUTE(SUBSTITUTE(SalesData[[#This Row],[Sales]],"$",""),",",""))/SalesData[[#This Row],[Quantity]],0)</f>
        <v>305.03500000000003</v>
      </c>
      <c r="Z369">
        <f>YEAR(SalesData[[#This Row],[Order Date]])</f>
        <v>2023</v>
      </c>
      <c r="AA369" t="str">
        <f>TEXT(SalesData[[#This Row],[Order Date]],"mmm")</f>
        <v>Nov</v>
      </c>
      <c r="AB36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70" spans="1:28">
      <c r="A370">
        <v>200</v>
      </c>
      <c r="B370" t="s">
        <v>2209</v>
      </c>
      <c r="C370" s="1">
        <v>45251</v>
      </c>
      <c r="D370" s="1">
        <v>45253</v>
      </c>
      <c r="E370" t="s">
        <v>36</v>
      </c>
      <c r="F370" t="s">
        <v>2210</v>
      </c>
      <c r="G370" t="s">
        <v>1194</v>
      </c>
      <c r="H370" t="s">
        <v>25</v>
      </c>
      <c r="I370" t="s">
        <v>26</v>
      </c>
      <c r="J370" t="s">
        <v>237</v>
      </c>
      <c r="K370" t="s">
        <v>237</v>
      </c>
      <c r="L370">
        <v>85945</v>
      </c>
      <c r="M370" t="s">
        <v>41</v>
      </c>
      <c r="N370" t="s">
        <v>1441</v>
      </c>
      <c r="O370" t="s">
        <v>30</v>
      </c>
      <c r="P370" t="s">
        <v>31</v>
      </c>
      <c r="Q370" t="s">
        <v>582</v>
      </c>
      <c r="R370" t="s">
        <v>2211</v>
      </c>
      <c r="S370">
        <v>3</v>
      </c>
      <c r="T370" s="2">
        <v>0</v>
      </c>
      <c r="U370" t="s">
        <v>2212</v>
      </c>
      <c r="V370" t="str">
        <f>CHOOSE(MOD(SalesData[[#This Row],[Row ID]]-1,8)+1,"Aarav Sharma","Ananya Singh","Rohan Verma","Priya Gupta","Arjun Mehta","Neha Kapoor","Rahul Joshi","Sneha Patel")</f>
        <v>Sneha Patel</v>
      </c>
      <c r="W37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70" s="8">
        <f>IFERROR(VALUE(SUBSTITUTE(SUBSTITUTE(SalesData[[#This Row],[Profit]],"$",""),",",""))/VALUE(SUBSTITUTE(SUBSTITUTE(SalesData[[#This Row],[Sales]],"$",""),",","")),0)</f>
        <v>0.22371956681052033</v>
      </c>
      <c r="Y370" s="6">
        <f>IFERROR(VALUE(SUBSTITUTE(SUBSTITUTE(SalesData[[#This Row],[Sales]],"$",""),",",""))/SalesData[[#This Row],[Quantity]],0)</f>
        <v>81.873333333333335</v>
      </c>
      <c r="Z370">
        <f>YEAR(SalesData[[#This Row],[Order Date]])</f>
        <v>2023</v>
      </c>
      <c r="AA370" t="str">
        <f>TEXT(SalesData[[#This Row],[Order Date]],"mmm")</f>
        <v>Nov</v>
      </c>
      <c r="AB37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71" spans="1:28">
      <c r="A371">
        <v>308</v>
      </c>
      <c r="B371" t="s">
        <v>2213</v>
      </c>
      <c r="C371" s="1">
        <v>45252</v>
      </c>
      <c r="D371" s="1">
        <v>45253</v>
      </c>
      <c r="E371" t="s">
        <v>382</v>
      </c>
      <c r="F371" t="s">
        <v>2214</v>
      </c>
      <c r="G371" t="s">
        <v>187</v>
      </c>
      <c r="H371" t="s">
        <v>60</v>
      </c>
      <c r="I371" t="s">
        <v>26</v>
      </c>
      <c r="J371" t="s">
        <v>438</v>
      </c>
      <c r="K371" t="s">
        <v>438</v>
      </c>
      <c r="L371">
        <v>38060</v>
      </c>
      <c r="M371" t="s">
        <v>28</v>
      </c>
      <c r="N371" t="s">
        <v>2215</v>
      </c>
      <c r="O371" t="s">
        <v>64</v>
      </c>
      <c r="P371" t="s">
        <v>136</v>
      </c>
      <c r="Q371" t="s">
        <v>2216</v>
      </c>
      <c r="R371" t="s">
        <v>2217</v>
      </c>
      <c r="S371">
        <v>3</v>
      </c>
      <c r="T371" s="2">
        <v>0.1</v>
      </c>
      <c r="U371" t="s">
        <v>2218</v>
      </c>
      <c r="V371" t="str">
        <f>CHOOSE(MOD(SalesData[[#This Row],[Row ID]]-1,8)+1,"Aarav Sharma","Ananya Singh","Rohan Verma","Priya Gupta","Arjun Mehta","Neha Kapoor","Rahul Joshi","Sneha Patel")</f>
        <v>Priya Gupta</v>
      </c>
      <c r="W37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71" s="8">
        <f>IFERROR(VALUE(SUBSTITUTE(SUBSTITUTE(SalesData[[#This Row],[Profit]],"$",""),",",""))/VALUE(SUBSTITUTE(SUBSTITUTE(SalesData[[#This Row],[Sales]],"$",""),",","")),0)</f>
        <v>0.13033102386451115</v>
      </c>
      <c r="Y371" s="6">
        <f>IFERROR(VALUE(SUBSTITUTE(SUBSTITUTE(SalesData[[#This Row],[Sales]],"$",""),",",""))/SalesData[[#This Row],[Quantity]],0)</f>
        <v>86.600000000000009</v>
      </c>
      <c r="Z371">
        <f>YEAR(SalesData[[#This Row],[Order Date]])</f>
        <v>2023</v>
      </c>
      <c r="AA371" t="str">
        <f>TEXT(SalesData[[#This Row],[Order Date]],"mmm")</f>
        <v>Nov</v>
      </c>
      <c r="AB37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72" spans="1:28">
      <c r="A372">
        <v>144</v>
      </c>
      <c r="B372" t="s">
        <v>2219</v>
      </c>
      <c r="C372" s="1">
        <v>45256</v>
      </c>
      <c r="D372" s="1">
        <v>45259</v>
      </c>
      <c r="E372" t="s">
        <v>36</v>
      </c>
      <c r="F372" t="s">
        <v>2220</v>
      </c>
      <c r="G372" t="s">
        <v>126</v>
      </c>
      <c r="H372" t="s">
        <v>25</v>
      </c>
      <c r="I372" t="s">
        <v>26</v>
      </c>
      <c r="J372" t="s">
        <v>81</v>
      </c>
      <c r="K372" t="s">
        <v>81</v>
      </c>
      <c r="L372">
        <v>56403</v>
      </c>
      <c r="M372" t="s">
        <v>62</v>
      </c>
      <c r="N372" t="s">
        <v>2221</v>
      </c>
      <c r="O372" t="s">
        <v>64</v>
      </c>
      <c r="P372" t="s">
        <v>136</v>
      </c>
      <c r="Q372" t="s">
        <v>2222</v>
      </c>
      <c r="R372" t="s">
        <v>2223</v>
      </c>
      <c r="S372">
        <v>5</v>
      </c>
      <c r="T372" s="2">
        <v>0</v>
      </c>
      <c r="U372" t="s">
        <v>2224</v>
      </c>
      <c r="V372" t="str">
        <f>CHOOSE(MOD(SalesData[[#This Row],[Row ID]]-1,8)+1,"Aarav Sharma","Ananya Singh","Rohan Verma","Priya Gupta","Arjun Mehta","Neha Kapoor","Rahul Joshi","Sneha Patel")</f>
        <v>Sneha Patel</v>
      </c>
      <c r="W37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72" s="8">
        <f>IFERROR(VALUE(SUBSTITUTE(SUBSTITUTE(SalesData[[#This Row],[Profit]],"$",""),",",""))/VALUE(SUBSTITUTE(SUBSTITUTE(SalesData[[#This Row],[Sales]],"$",""),",","")),0)</f>
        <v>0.30068978917711064</v>
      </c>
      <c r="Y372" s="6">
        <f>IFERROR(VALUE(SUBSTITUTE(SUBSTITUTE(SalesData[[#This Row],[Sales]],"$",""),",",""))/SalesData[[#This Row],[Quantity]],0)</f>
        <v>20.586000000000002</v>
      </c>
      <c r="Z372">
        <f>YEAR(SalesData[[#This Row],[Order Date]])</f>
        <v>2023</v>
      </c>
      <c r="AA372" t="str">
        <f>TEXT(SalesData[[#This Row],[Order Date]],"mmm")</f>
        <v>Nov</v>
      </c>
      <c r="AB37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73" spans="1:28">
      <c r="A373">
        <v>545</v>
      </c>
      <c r="B373" t="s">
        <v>2225</v>
      </c>
      <c r="C373" s="1">
        <v>45260</v>
      </c>
      <c r="D373" s="1">
        <v>45266</v>
      </c>
      <c r="E373" t="s">
        <v>382</v>
      </c>
      <c r="F373" t="s">
        <v>2226</v>
      </c>
      <c r="G373" t="s">
        <v>2227</v>
      </c>
      <c r="H373" t="s">
        <v>39</v>
      </c>
      <c r="I373" t="s">
        <v>26</v>
      </c>
      <c r="J373" t="s">
        <v>173</v>
      </c>
      <c r="K373" t="s">
        <v>173</v>
      </c>
      <c r="L373">
        <v>42844</v>
      </c>
      <c r="M373" t="s">
        <v>73</v>
      </c>
      <c r="N373" t="s">
        <v>1837</v>
      </c>
      <c r="O373" t="s">
        <v>43</v>
      </c>
      <c r="P373" t="s">
        <v>166</v>
      </c>
      <c r="Q373" t="s">
        <v>2228</v>
      </c>
      <c r="R373" t="s">
        <v>2229</v>
      </c>
      <c r="S373">
        <v>2</v>
      </c>
      <c r="T373" s="2">
        <v>0.2</v>
      </c>
      <c r="U373" t="s">
        <v>2230</v>
      </c>
      <c r="V373" t="str">
        <f>CHOOSE(MOD(SalesData[[#This Row],[Row ID]]-1,8)+1,"Aarav Sharma","Ananya Singh","Rohan Verma","Priya Gupta","Arjun Mehta","Neha Kapoor","Rahul Joshi","Sneha Patel")</f>
        <v>Aarav Sharma</v>
      </c>
      <c r="W37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73" s="8">
        <f>IFERROR(VALUE(SUBSTITUTE(SUBSTITUTE(SalesData[[#This Row],[Profit]],"$",""),",",""))/VALUE(SUBSTITUTE(SUBSTITUTE(SalesData[[#This Row],[Sales]],"$",""),",","")),0)</f>
        <v>0.14791509354811644</v>
      </c>
      <c r="Y373" s="6">
        <f>IFERROR(VALUE(SUBSTITUTE(SUBSTITUTE(SalesData[[#This Row],[Sales]],"$",""),",",""))/SalesData[[#This Row],[Quantity]],0)</f>
        <v>59.594999999999999</v>
      </c>
      <c r="Z373">
        <f>YEAR(SalesData[[#This Row],[Order Date]])</f>
        <v>2023</v>
      </c>
      <c r="AA373" t="str">
        <f>TEXT(SalesData[[#This Row],[Order Date]],"mmm")</f>
        <v>Nov</v>
      </c>
      <c r="AB37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74" spans="1:28">
      <c r="A374">
        <v>390</v>
      </c>
      <c r="B374" t="s">
        <v>2231</v>
      </c>
      <c r="C374" s="1">
        <v>45261</v>
      </c>
      <c r="D374" s="1">
        <v>45264</v>
      </c>
      <c r="E374" t="s">
        <v>36</v>
      </c>
      <c r="F374" t="s">
        <v>2232</v>
      </c>
      <c r="G374" t="s">
        <v>1429</v>
      </c>
      <c r="H374" t="s">
        <v>39</v>
      </c>
      <c r="I374" t="s">
        <v>26</v>
      </c>
      <c r="J374" t="s">
        <v>61</v>
      </c>
      <c r="K374" t="s">
        <v>61</v>
      </c>
      <c r="L374">
        <v>19215</v>
      </c>
      <c r="M374" t="s">
        <v>62</v>
      </c>
      <c r="N374" t="s">
        <v>499</v>
      </c>
      <c r="O374" t="s">
        <v>43</v>
      </c>
      <c r="P374" t="s">
        <v>214</v>
      </c>
      <c r="Q374" t="s">
        <v>812</v>
      </c>
      <c r="R374" t="s">
        <v>2233</v>
      </c>
      <c r="S374">
        <v>2</v>
      </c>
      <c r="T374" s="2">
        <v>0</v>
      </c>
      <c r="U374" t="s">
        <v>2234</v>
      </c>
      <c r="V374" t="str">
        <f>CHOOSE(MOD(SalesData[[#This Row],[Row ID]]-1,8)+1,"Aarav Sharma","Ananya Singh","Rohan Verma","Priya Gupta","Arjun Mehta","Neha Kapoor","Rahul Joshi","Sneha Patel")</f>
        <v>Neha Kapoor</v>
      </c>
      <c r="W37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74" s="8">
        <f>IFERROR(VALUE(SUBSTITUTE(SUBSTITUTE(SalesData[[#This Row],[Profit]],"$",""),",",""))/VALUE(SUBSTITUTE(SUBSTITUTE(SalesData[[#This Row],[Sales]],"$",""),",","")),0)</f>
        <v>0.24679008659301285</v>
      </c>
      <c r="Y374" s="6">
        <f>IFERROR(VALUE(SUBSTITUTE(SUBSTITUTE(SalesData[[#This Row],[Sales]],"$",""),",",""))/SalesData[[#This Row],[Quantity]],0)</f>
        <v>33.49</v>
      </c>
      <c r="Z374">
        <f>YEAR(SalesData[[#This Row],[Order Date]])</f>
        <v>2023</v>
      </c>
      <c r="AA374" t="str">
        <f>TEXT(SalesData[[#This Row],[Order Date]],"mmm")</f>
        <v>Dec</v>
      </c>
      <c r="AB37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75" spans="1:28">
      <c r="A375">
        <v>379</v>
      </c>
      <c r="B375" t="s">
        <v>2235</v>
      </c>
      <c r="C375" s="1">
        <v>45263</v>
      </c>
      <c r="D375" s="1">
        <v>45266</v>
      </c>
      <c r="E375" t="s">
        <v>36</v>
      </c>
      <c r="F375" t="s">
        <v>2236</v>
      </c>
      <c r="G375" t="s">
        <v>2237</v>
      </c>
      <c r="H375" t="s">
        <v>39</v>
      </c>
      <c r="I375" t="s">
        <v>26</v>
      </c>
      <c r="J375" t="s">
        <v>363</v>
      </c>
      <c r="K375" t="s">
        <v>363</v>
      </c>
      <c r="L375">
        <v>49643</v>
      </c>
      <c r="M375" t="s">
        <v>62</v>
      </c>
      <c r="N375" t="s">
        <v>2238</v>
      </c>
      <c r="O375" t="s">
        <v>30</v>
      </c>
      <c r="P375" t="s">
        <v>222</v>
      </c>
      <c r="Q375" t="s">
        <v>1214</v>
      </c>
      <c r="R375" t="s">
        <v>2239</v>
      </c>
      <c r="S375">
        <v>7</v>
      </c>
      <c r="T375" s="2">
        <v>0.5</v>
      </c>
      <c r="U375" t="s">
        <v>2240</v>
      </c>
      <c r="V375" t="str">
        <f>CHOOSE(MOD(SalesData[[#This Row],[Row ID]]-1,8)+1,"Aarav Sharma","Ananya Singh","Rohan Verma","Priya Gupta","Arjun Mehta","Neha Kapoor","Rahul Joshi","Sneha Patel")</f>
        <v>Rohan Verma</v>
      </c>
      <c r="W37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75" s="8">
        <f>IFERROR(VALUE(SUBSTITUTE(SUBSTITUTE(SalesData[[#This Row],[Profit]],"$",""),",",""))/VALUE(SUBSTITUTE(SUBSTITUTE(SalesData[[#This Row],[Sales]],"$",""),",","")),0)</f>
        <v>-0.2519623233908948</v>
      </c>
      <c r="Y375" s="6">
        <f>IFERROR(VALUE(SUBSTITUTE(SUBSTITUTE(SalesData[[#This Row],[Sales]],"$",""),",",""))/SalesData[[#This Row],[Quantity]],0)</f>
        <v>29.12</v>
      </c>
      <c r="Z375">
        <f>YEAR(SalesData[[#This Row],[Order Date]])</f>
        <v>2023</v>
      </c>
      <c r="AA375" t="str">
        <f>TEXT(SalesData[[#This Row],[Order Date]],"mmm")</f>
        <v>Dec</v>
      </c>
      <c r="AB37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76" spans="1:28">
      <c r="A376">
        <v>451</v>
      </c>
      <c r="B376" t="s">
        <v>2241</v>
      </c>
      <c r="C376" s="1">
        <v>45266</v>
      </c>
      <c r="D376" s="1">
        <v>45268</v>
      </c>
      <c r="E376" t="s">
        <v>49</v>
      </c>
      <c r="F376" t="s">
        <v>58</v>
      </c>
      <c r="G376" t="s">
        <v>2237</v>
      </c>
      <c r="H376" t="s">
        <v>39</v>
      </c>
      <c r="I376" t="s">
        <v>26</v>
      </c>
      <c r="J376" t="s">
        <v>157</v>
      </c>
      <c r="K376" t="s">
        <v>157</v>
      </c>
      <c r="L376">
        <v>70998</v>
      </c>
      <c r="M376" t="s">
        <v>62</v>
      </c>
      <c r="N376" t="s">
        <v>2242</v>
      </c>
      <c r="O376" t="s">
        <v>30</v>
      </c>
      <c r="P376" t="s">
        <v>120</v>
      </c>
      <c r="Q376" t="s">
        <v>365</v>
      </c>
      <c r="R376" t="s">
        <v>2243</v>
      </c>
      <c r="S376">
        <v>1</v>
      </c>
      <c r="T376" s="2">
        <v>0.05</v>
      </c>
      <c r="U376" t="s">
        <v>2244</v>
      </c>
      <c r="V376" t="str">
        <f>CHOOSE(MOD(SalesData[[#This Row],[Row ID]]-1,8)+1,"Aarav Sharma","Ananya Singh","Rohan Verma","Priya Gupta","Arjun Mehta","Neha Kapoor","Rahul Joshi","Sneha Patel")</f>
        <v>Rohan Verma</v>
      </c>
      <c r="W37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76" s="8">
        <f>IFERROR(VALUE(SUBSTITUTE(SUBSTITUTE(SalesData[[#This Row],[Profit]],"$",""),",",""))/VALUE(SUBSTITUTE(SUBSTITUTE(SalesData[[#This Row],[Sales]],"$",""),",","")),0)</f>
        <v>0.16279915617953009</v>
      </c>
      <c r="Y376" s="6">
        <f>IFERROR(VALUE(SUBSTITUTE(SUBSTITUTE(SalesData[[#This Row],[Sales]],"$",""),",",""))/SalesData[[#This Row],[Quantity]],0)</f>
        <v>274.94</v>
      </c>
      <c r="Z376">
        <f>YEAR(SalesData[[#This Row],[Order Date]])</f>
        <v>2023</v>
      </c>
      <c r="AA376" t="str">
        <f>TEXT(SalesData[[#This Row],[Order Date]],"mmm")</f>
        <v>Dec</v>
      </c>
      <c r="AB37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77" spans="1:28">
      <c r="A377">
        <v>557</v>
      </c>
      <c r="B377" t="s">
        <v>2245</v>
      </c>
      <c r="C377" s="1">
        <v>45267</v>
      </c>
      <c r="D377" s="1">
        <v>45270</v>
      </c>
      <c r="E377" t="s">
        <v>36</v>
      </c>
      <c r="F377" t="s">
        <v>2246</v>
      </c>
      <c r="G377" t="s">
        <v>909</v>
      </c>
      <c r="H377" t="s">
        <v>25</v>
      </c>
      <c r="I377" t="s">
        <v>26</v>
      </c>
      <c r="J377" t="s">
        <v>81</v>
      </c>
      <c r="K377" t="s">
        <v>81</v>
      </c>
      <c r="L377">
        <v>97618</v>
      </c>
      <c r="M377" t="s">
        <v>62</v>
      </c>
      <c r="N377" t="s">
        <v>1195</v>
      </c>
      <c r="O377" t="s">
        <v>30</v>
      </c>
      <c r="P377" t="s">
        <v>31</v>
      </c>
      <c r="Q377" t="s">
        <v>1403</v>
      </c>
      <c r="R377" t="s">
        <v>2247</v>
      </c>
      <c r="S377">
        <v>2</v>
      </c>
      <c r="T377" s="2">
        <v>0</v>
      </c>
      <c r="U377" t="s">
        <v>2248</v>
      </c>
      <c r="V377" t="str">
        <f>CHOOSE(MOD(SalesData[[#This Row],[Row ID]]-1,8)+1,"Aarav Sharma","Ananya Singh","Rohan Verma","Priya Gupta","Arjun Mehta","Neha Kapoor","Rahul Joshi","Sneha Patel")</f>
        <v>Arjun Mehta</v>
      </c>
      <c r="W37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77" s="8">
        <f>IFERROR(VALUE(SUBSTITUTE(SUBSTITUTE(SalesData[[#This Row],[Profit]],"$",""),",",""))/VALUE(SUBSTITUTE(SUBSTITUTE(SalesData[[#This Row],[Sales]],"$",""),",","")),0)</f>
        <v>0.17636221923049672</v>
      </c>
      <c r="Y377" s="6">
        <f>IFERROR(VALUE(SUBSTITUTE(SUBSTITUTE(SalesData[[#This Row],[Sales]],"$",""),",",""))/SalesData[[#This Row],[Quantity]],0)</f>
        <v>70.564999999999998</v>
      </c>
      <c r="Z377">
        <f>YEAR(SalesData[[#This Row],[Order Date]])</f>
        <v>2023</v>
      </c>
      <c r="AA377" t="str">
        <f>TEXT(SalesData[[#This Row],[Order Date]],"mmm")</f>
        <v>Dec</v>
      </c>
      <c r="AB37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78" spans="1:28">
      <c r="A378">
        <v>270</v>
      </c>
      <c r="B378" t="s">
        <v>2249</v>
      </c>
      <c r="C378" s="1">
        <v>45267</v>
      </c>
      <c r="D378" s="1">
        <v>45271</v>
      </c>
      <c r="E378" t="s">
        <v>49</v>
      </c>
      <c r="F378" t="s">
        <v>2250</v>
      </c>
      <c r="G378" t="s">
        <v>648</v>
      </c>
      <c r="H378" t="s">
        <v>25</v>
      </c>
      <c r="I378" t="s">
        <v>26</v>
      </c>
      <c r="J378" t="s">
        <v>363</v>
      </c>
      <c r="K378" t="s">
        <v>363</v>
      </c>
      <c r="L378">
        <v>17130</v>
      </c>
      <c r="M378" t="s">
        <v>62</v>
      </c>
      <c r="N378" t="s">
        <v>1578</v>
      </c>
      <c r="O378" t="s">
        <v>43</v>
      </c>
      <c r="P378" t="s">
        <v>166</v>
      </c>
      <c r="Q378" t="s">
        <v>2251</v>
      </c>
      <c r="R378" t="s">
        <v>2252</v>
      </c>
      <c r="S378">
        <v>4</v>
      </c>
      <c r="T378" s="2">
        <v>0.15</v>
      </c>
      <c r="U378" t="s">
        <v>2253</v>
      </c>
      <c r="V378" t="str">
        <f>CHOOSE(MOD(SalesData[[#This Row],[Row ID]]-1,8)+1,"Aarav Sharma","Ananya Singh","Rohan Verma","Priya Gupta","Arjun Mehta","Neha Kapoor","Rahul Joshi","Sneha Patel")</f>
        <v>Neha Kapoor</v>
      </c>
      <c r="W37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78" s="8">
        <f>IFERROR(VALUE(SUBSTITUTE(SUBSTITUTE(SalesData[[#This Row],[Profit]],"$",""),",",""))/VALUE(SUBSTITUTE(SUBSTITUTE(SalesData[[#This Row],[Sales]],"$",""),",","")),0)</f>
        <v>0.15764841119960588</v>
      </c>
      <c r="Y378" s="6">
        <f>IFERROR(VALUE(SUBSTITUTE(SUBSTITUTE(SalesData[[#This Row],[Sales]],"$",""),",",""))/SalesData[[#This Row],[Quantity]],0)</f>
        <v>30.447500000000002</v>
      </c>
      <c r="Z378">
        <f>YEAR(SalesData[[#This Row],[Order Date]])</f>
        <v>2023</v>
      </c>
      <c r="AA378" t="str">
        <f>TEXT(SalesData[[#This Row],[Order Date]],"mmm")</f>
        <v>Dec</v>
      </c>
      <c r="AB37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79" spans="1:28">
      <c r="A379">
        <v>463</v>
      </c>
      <c r="B379" t="s">
        <v>2254</v>
      </c>
      <c r="C379" s="1">
        <v>45269</v>
      </c>
      <c r="D379" s="1">
        <v>45271</v>
      </c>
      <c r="E379" t="s">
        <v>36</v>
      </c>
      <c r="F379" t="s">
        <v>1651</v>
      </c>
      <c r="G379" t="s">
        <v>1087</v>
      </c>
      <c r="H379" t="s">
        <v>25</v>
      </c>
      <c r="I379" t="s">
        <v>26</v>
      </c>
      <c r="J379" t="s">
        <v>245</v>
      </c>
      <c r="K379" t="s">
        <v>245</v>
      </c>
      <c r="L379">
        <v>52503</v>
      </c>
      <c r="M379" t="s">
        <v>41</v>
      </c>
      <c r="N379" t="s">
        <v>1111</v>
      </c>
      <c r="O379" t="s">
        <v>43</v>
      </c>
      <c r="P379" t="s">
        <v>128</v>
      </c>
      <c r="Q379" t="s">
        <v>129</v>
      </c>
      <c r="R379" t="s">
        <v>2255</v>
      </c>
      <c r="S379">
        <v>3</v>
      </c>
      <c r="T379" s="2">
        <v>0.15</v>
      </c>
      <c r="U379" t="s">
        <v>2256</v>
      </c>
      <c r="V379" t="str">
        <f>CHOOSE(MOD(SalesData[[#This Row],[Row ID]]-1,8)+1,"Aarav Sharma","Ananya Singh","Rohan Verma","Priya Gupta","Arjun Mehta","Neha Kapoor","Rahul Joshi","Sneha Patel")</f>
        <v>Rahul Joshi</v>
      </c>
      <c r="W37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79" s="8">
        <f>IFERROR(VALUE(SUBSTITUTE(SUBSTITUTE(SalesData[[#This Row],[Profit]],"$",""),",",""))/VALUE(SUBSTITUTE(SUBSTITUTE(SalesData[[#This Row],[Sales]],"$",""),",","")),0)</f>
        <v>0.12830396475770925</v>
      </c>
      <c r="Y379" s="6">
        <f>IFERROR(VALUE(SUBSTITUTE(SUBSTITUTE(SalesData[[#This Row],[Sales]],"$",""),",",""))/SalesData[[#This Row],[Quantity]],0)</f>
        <v>36.32</v>
      </c>
      <c r="Z379">
        <f>YEAR(SalesData[[#This Row],[Order Date]])</f>
        <v>2023</v>
      </c>
      <c r="AA379" t="str">
        <f>TEXT(SalesData[[#This Row],[Order Date]],"mmm")</f>
        <v>Dec</v>
      </c>
      <c r="AB37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80" spans="1:28">
      <c r="A380">
        <v>135</v>
      </c>
      <c r="B380" t="s">
        <v>2257</v>
      </c>
      <c r="C380" s="1">
        <v>45270</v>
      </c>
      <c r="D380" s="1">
        <v>45276</v>
      </c>
      <c r="E380" t="s">
        <v>49</v>
      </c>
      <c r="F380" t="s">
        <v>2258</v>
      </c>
      <c r="G380" t="s">
        <v>492</v>
      </c>
      <c r="H380" t="s">
        <v>25</v>
      </c>
      <c r="I380" t="s">
        <v>26</v>
      </c>
      <c r="J380" t="s">
        <v>27</v>
      </c>
      <c r="K380" t="s">
        <v>27</v>
      </c>
      <c r="L380">
        <v>90257</v>
      </c>
      <c r="M380" t="s">
        <v>28</v>
      </c>
      <c r="N380" t="s">
        <v>2259</v>
      </c>
      <c r="O380" t="s">
        <v>30</v>
      </c>
      <c r="P380" t="s">
        <v>120</v>
      </c>
      <c r="Q380" t="s">
        <v>182</v>
      </c>
      <c r="R380" t="s">
        <v>2260</v>
      </c>
      <c r="S380">
        <v>7</v>
      </c>
      <c r="T380" s="2">
        <v>0.2</v>
      </c>
      <c r="U380" t="s">
        <v>2261</v>
      </c>
      <c r="V380" t="str">
        <f>CHOOSE(MOD(SalesData[[#This Row],[Row ID]]-1,8)+1,"Aarav Sharma","Ananya Singh","Rohan Verma","Priya Gupta","Arjun Mehta","Neha Kapoor","Rahul Joshi","Sneha Patel")</f>
        <v>Rahul Joshi</v>
      </c>
      <c r="W38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80" s="8">
        <f>IFERROR(VALUE(SUBSTITUTE(SUBSTITUTE(SalesData[[#This Row],[Profit]],"$",""),",",""))/VALUE(SUBSTITUTE(SUBSTITUTE(SalesData[[#This Row],[Sales]],"$",""),",","")),0)</f>
        <v>-0.11917345994207053</v>
      </c>
      <c r="Y380" s="6">
        <f>IFERROR(VALUE(SUBSTITUTE(SUBSTITUTE(SalesData[[#This Row],[Sales]],"$",""),",",""))/SalesData[[#This Row],[Quantity]],0)</f>
        <v>47.841428571428573</v>
      </c>
      <c r="Z380">
        <f>YEAR(SalesData[[#This Row],[Order Date]])</f>
        <v>2023</v>
      </c>
      <c r="AA380" t="str">
        <f>TEXT(SalesData[[#This Row],[Order Date]],"mmm")</f>
        <v>Dec</v>
      </c>
      <c r="AB38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81" spans="1:28">
      <c r="A381">
        <v>9</v>
      </c>
      <c r="B381" t="s">
        <v>2262</v>
      </c>
      <c r="C381" s="1">
        <v>45271</v>
      </c>
      <c r="D381" s="1">
        <v>45274</v>
      </c>
      <c r="E381" t="s">
        <v>36</v>
      </c>
      <c r="F381" t="s">
        <v>2263</v>
      </c>
      <c r="G381" t="s">
        <v>432</v>
      </c>
      <c r="H381" t="s">
        <v>25</v>
      </c>
      <c r="I381" t="s">
        <v>26</v>
      </c>
      <c r="J381" t="s">
        <v>72</v>
      </c>
      <c r="K381" t="s">
        <v>72</v>
      </c>
      <c r="L381">
        <v>99474</v>
      </c>
      <c r="M381" t="s">
        <v>73</v>
      </c>
      <c r="N381" t="s">
        <v>1620</v>
      </c>
      <c r="O381" t="s">
        <v>43</v>
      </c>
      <c r="P381" t="s">
        <v>214</v>
      </c>
      <c r="Q381" t="s">
        <v>2264</v>
      </c>
      <c r="R381" t="s">
        <v>2265</v>
      </c>
      <c r="S381">
        <v>1</v>
      </c>
      <c r="T381" s="2">
        <v>0.1</v>
      </c>
      <c r="U381" t="s">
        <v>2266</v>
      </c>
      <c r="V381" t="str">
        <f>CHOOSE(MOD(SalesData[[#This Row],[Row ID]]-1,8)+1,"Aarav Sharma","Ananya Singh","Rohan Verma","Priya Gupta","Arjun Mehta","Neha Kapoor","Rahul Joshi","Sneha Patel")</f>
        <v>Aarav Sharma</v>
      </c>
      <c r="W38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81" s="8">
        <f>IFERROR(VALUE(SUBSTITUTE(SUBSTITUTE(SalesData[[#This Row],[Profit]],"$",""),",",""))/VALUE(SUBSTITUTE(SUBSTITUTE(SalesData[[#This Row],[Sales]],"$",""),",","")),0)</f>
        <v>0.16927966101694913</v>
      </c>
      <c r="Y381" s="6">
        <f>IFERROR(VALUE(SUBSTITUTE(SUBSTITUTE(SalesData[[#This Row],[Sales]],"$",""),",",""))/SalesData[[#This Row],[Quantity]],0)</f>
        <v>47.2</v>
      </c>
      <c r="Z381">
        <f>YEAR(SalesData[[#This Row],[Order Date]])</f>
        <v>2023</v>
      </c>
      <c r="AA381" t="str">
        <f>TEXT(SalesData[[#This Row],[Order Date]],"mmm")</f>
        <v>Dec</v>
      </c>
      <c r="AB38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82" spans="1:28">
      <c r="A382">
        <v>406</v>
      </c>
      <c r="B382" t="s">
        <v>2267</v>
      </c>
      <c r="C382" s="1">
        <v>45274</v>
      </c>
      <c r="D382" s="1">
        <v>45278</v>
      </c>
      <c r="E382" t="s">
        <v>49</v>
      </c>
      <c r="F382" t="s">
        <v>2268</v>
      </c>
      <c r="G382" t="s">
        <v>418</v>
      </c>
      <c r="H382" t="s">
        <v>60</v>
      </c>
      <c r="I382" t="s">
        <v>26</v>
      </c>
      <c r="J382" t="s">
        <v>301</v>
      </c>
      <c r="K382" t="s">
        <v>301</v>
      </c>
      <c r="L382">
        <v>67853</v>
      </c>
      <c r="M382" t="s">
        <v>73</v>
      </c>
      <c r="N382" t="s">
        <v>2269</v>
      </c>
      <c r="O382" t="s">
        <v>43</v>
      </c>
      <c r="P382" t="s">
        <v>128</v>
      </c>
      <c r="Q382" t="s">
        <v>175</v>
      </c>
      <c r="R382" t="s">
        <v>2270</v>
      </c>
      <c r="S382">
        <v>5</v>
      </c>
      <c r="T382" s="2">
        <v>0.15</v>
      </c>
      <c r="U382" t="s">
        <v>1559</v>
      </c>
      <c r="V382" t="str">
        <f>CHOOSE(MOD(SalesData[[#This Row],[Row ID]]-1,8)+1,"Aarav Sharma","Ananya Singh","Rohan Verma","Priya Gupta","Arjun Mehta","Neha Kapoor","Rahul Joshi","Sneha Patel")</f>
        <v>Neha Kapoor</v>
      </c>
      <c r="W38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82" s="8">
        <f>IFERROR(VALUE(SUBSTITUTE(SUBSTITUTE(SalesData[[#This Row],[Profit]],"$",""),",",""))/VALUE(SUBSTITUTE(SUBSTITUTE(SalesData[[#This Row],[Sales]],"$",""),",","")),0)</f>
        <v>0.1472597422760441</v>
      </c>
      <c r="Y382" s="6">
        <f>IFERROR(VALUE(SUBSTITUTE(SUBSTITUTE(SalesData[[#This Row],[Sales]],"$",""),",",""))/SalesData[[#This Row],[Quantity]],0)</f>
        <v>25.763999999999999</v>
      </c>
      <c r="Z382">
        <f>YEAR(SalesData[[#This Row],[Order Date]])</f>
        <v>2023</v>
      </c>
      <c r="AA382" t="str">
        <f>TEXT(SalesData[[#This Row],[Order Date]],"mmm")</f>
        <v>Dec</v>
      </c>
      <c r="AB38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83" spans="1:28">
      <c r="A383">
        <v>115</v>
      </c>
      <c r="B383" t="s">
        <v>2271</v>
      </c>
      <c r="C383" s="1">
        <v>45276</v>
      </c>
      <c r="D383" s="1">
        <v>45279</v>
      </c>
      <c r="E383" t="s">
        <v>22</v>
      </c>
      <c r="F383" t="s">
        <v>2272</v>
      </c>
      <c r="G383" t="s">
        <v>51</v>
      </c>
      <c r="H383" t="s">
        <v>25</v>
      </c>
      <c r="I383" t="s">
        <v>26</v>
      </c>
      <c r="J383" t="s">
        <v>212</v>
      </c>
      <c r="K383" t="s">
        <v>212</v>
      </c>
      <c r="L383">
        <v>73530</v>
      </c>
      <c r="M383" t="s">
        <v>28</v>
      </c>
      <c r="N383" t="s">
        <v>2273</v>
      </c>
      <c r="O383" t="s">
        <v>64</v>
      </c>
      <c r="P383" t="s">
        <v>105</v>
      </c>
      <c r="Q383" t="s">
        <v>549</v>
      </c>
      <c r="R383" t="s">
        <v>2274</v>
      </c>
      <c r="S383">
        <v>5</v>
      </c>
      <c r="T383" s="2">
        <v>0</v>
      </c>
      <c r="U383" t="s">
        <v>2275</v>
      </c>
      <c r="V383" t="str">
        <f>CHOOSE(MOD(SalesData[[#This Row],[Row ID]]-1,8)+1,"Aarav Sharma","Ananya Singh","Rohan Verma","Priya Gupta","Arjun Mehta","Neha Kapoor","Rahul Joshi","Sneha Patel")</f>
        <v>Rohan Verma</v>
      </c>
      <c r="W38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83" s="8">
        <f>IFERROR(VALUE(SUBSTITUTE(SUBSTITUTE(SalesData[[#This Row],[Profit]],"$",""),",",""))/VALUE(SUBSTITUTE(SUBSTITUTE(SalesData[[#This Row],[Sales]],"$",""),",","")),0)</f>
        <v>0.23450525552736498</v>
      </c>
      <c r="Y383" s="6">
        <f>IFERROR(VALUE(SUBSTITUTE(SUBSTITUTE(SalesData[[#This Row],[Sales]],"$",""),",",""))/SalesData[[#This Row],[Quantity]],0)</f>
        <v>60.698</v>
      </c>
      <c r="Z383">
        <f>YEAR(SalesData[[#This Row],[Order Date]])</f>
        <v>2023</v>
      </c>
      <c r="AA383" t="str">
        <f>TEXT(SalesData[[#This Row],[Order Date]],"mmm")</f>
        <v>Dec</v>
      </c>
      <c r="AB38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84" spans="1:28">
      <c r="A384">
        <v>446</v>
      </c>
      <c r="B384" t="s">
        <v>2276</v>
      </c>
      <c r="C384" s="1">
        <v>45276</v>
      </c>
      <c r="D384" s="1">
        <v>45280</v>
      </c>
      <c r="E384" t="s">
        <v>49</v>
      </c>
      <c r="F384" t="s">
        <v>2277</v>
      </c>
      <c r="G384" t="s">
        <v>882</v>
      </c>
      <c r="H384" t="s">
        <v>25</v>
      </c>
      <c r="I384" t="s">
        <v>26</v>
      </c>
      <c r="J384" t="s">
        <v>96</v>
      </c>
      <c r="K384" t="s">
        <v>96</v>
      </c>
      <c r="L384">
        <v>59228</v>
      </c>
      <c r="M384" t="s">
        <v>28</v>
      </c>
      <c r="N384" t="s">
        <v>2278</v>
      </c>
      <c r="O384" t="s">
        <v>64</v>
      </c>
      <c r="P384" t="s">
        <v>105</v>
      </c>
      <c r="Q384" t="s">
        <v>269</v>
      </c>
      <c r="R384" t="s">
        <v>2279</v>
      </c>
      <c r="S384">
        <v>5</v>
      </c>
      <c r="T384" s="2">
        <v>0.2</v>
      </c>
      <c r="U384" t="s">
        <v>2280</v>
      </c>
      <c r="V384" t="str">
        <f>CHOOSE(MOD(SalesData[[#This Row],[Row ID]]-1,8)+1,"Aarav Sharma","Ananya Singh","Rohan Verma","Priya Gupta","Arjun Mehta","Neha Kapoor","Rahul Joshi","Sneha Patel")</f>
        <v>Neha Kapoor</v>
      </c>
      <c r="W38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84" s="8">
        <f>IFERROR(VALUE(SUBSTITUTE(SUBSTITUTE(SalesData[[#This Row],[Profit]],"$",""),",",""))/VALUE(SUBSTITUTE(SUBSTITUTE(SalesData[[#This Row],[Sales]],"$",""),",","")),0)</f>
        <v>5.1682866676338306E-2</v>
      </c>
      <c r="Y384" s="6">
        <f>IFERROR(VALUE(SUBSTITUTE(SUBSTITUTE(SalesData[[#This Row],[Sales]],"$",""),",",""))/SalesData[[#This Row],[Quantity]],0)</f>
        <v>55.144000000000005</v>
      </c>
      <c r="Z384">
        <f>YEAR(SalesData[[#This Row],[Order Date]])</f>
        <v>2023</v>
      </c>
      <c r="AA384" t="str">
        <f>TEXT(SalesData[[#This Row],[Order Date]],"mmm")</f>
        <v>Dec</v>
      </c>
      <c r="AB38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85" spans="1:28">
      <c r="A385">
        <v>434</v>
      </c>
      <c r="B385" t="s">
        <v>2281</v>
      </c>
      <c r="C385" s="1">
        <v>45277</v>
      </c>
      <c r="D385" s="1">
        <v>45279</v>
      </c>
      <c r="E385" t="s">
        <v>36</v>
      </c>
      <c r="F385" t="s">
        <v>2282</v>
      </c>
      <c r="G385" t="s">
        <v>1253</v>
      </c>
      <c r="H385" t="s">
        <v>39</v>
      </c>
      <c r="I385" t="s">
        <v>26</v>
      </c>
      <c r="J385" t="s">
        <v>237</v>
      </c>
      <c r="K385" t="s">
        <v>237</v>
      </c>
      <c r="L385">
        <v>74839</v>
      </c>
      <c r="M385" t="s">
        <v>41</v>
      </c>
      <c r="N385" t="s">
        <v>678</v>
      </c>
      <c r="O385" t="s">
        <v>43</v>
      </c>
      <c r="P385" t="s">
        <v>166</v>
      </c>
      <c r="Q385" t="s">
        <v>2004</v>
      </c>
      <c r="R385" t="s">
        <v>2283</v>
      </c>
      <c r="S385">
        <v>3</v>
      </c>
      <c r="T385" s="2">
        <v>0</v>
      </c>
      <c r="U385" t="s">
        <v>2284</v>
      </c>
      <c r="V385" t="str">
        <f>CHOOSE(MOD(SalesData[[#This Row],[Row ID]]-1,8)+1,"Aarav Sharma","Ananya Singh","Rohan Verma","Priya Gupta","Arjun Mehta","Neha Kapoor","Rahul Joshi","Sneha Patel")</f>
        <v>Ananya Singh</v>
      </c>
      <c r="W38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85" s="8">
        <f>IFERROR(VALUE(SUBSTITUTE(SUBSTITUTE(SalesData[[#This Row],[Profit]],"$",""),",",""))/VALUE(SUBSTITUTE(SUBSTITUTE(SalesData[[#This Row],[Sales]],"$",""),",","")),0)</f>
        <v>0.19268110530246452</v>
      </c>
      <c r="Y385" s="6">
        <f>IFERROR(VALUE(SUBSTITUTE(SUBSTITUTE(SalesData[[#This Row],[Sales]],"$",""),",",""))/SalesData[[#This Row],[Quantity]],0)</f>
        <v>31.243333333333336</v>
      </c>
      <c r="Z385">
        <f>YEAR(SalesData[[#This Row],[Order Date]])</f>
        <v>2023</v>
      </c>
      <c r="AA385" t="str">
        <f>TEXT(SalesData[[#This Row],[Order Date]],"mmm")</f>
        <v>Dec</v>
      </c>
      <c r="AB38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86" spans="1:28">
      <c r="A386">
        <v>36</v>
      </c>
      <c r="B386" t="s">
        <v>2285</v>
      </c>
      <c r="C386" s="1">
        <v>45278</v>
      </c>
      <c r="D386" s="1">
        <v>45280</v>
      </c>
      <c r="E386" t="s">
        <v>36</v>
      </c>
      <c r="F386" t="s">
        <v>2286</v>
      </c>
      <c r="G386" t="s">
        <v>2237</v>
      </c>
      <c r="H386" t="s">
        <v>25</v>
      </c>
      <c r="I386" t="s">
        <v>26</v>
      </c>
      <c r="J386" t="s">
        <v>229</v>
      </c>
      <c r="K386" t="s">
        <v>229</v>
      </c>
      <c r="L386">
        <v>34285</v>
      </c>
      <c r="M386" t="s">
        <v>73</v>
      </c>
      <c r="N386" t="s">
        <v>1782</v>
      </c>
      <c r="O386" t="s">
        <v>43</v>
      </c>
      <c r="P386" t="s">
        <v>128</v>
      </c>
      <c r="Q386" t="s">
        <v>656</v>
      </c>
      <c r="R386" t="s">
        <v>2287</v>
      </c>
      <c r="S386">
        <v>6</v>
      </c>
      <c r="T386" s="2">
        <v>0.3</v>
      </c>
      <c r="U386" t="s">
        <v>2288</v>
      </c>
      <c r="V386" t="str">
        <f>CHOOSE(MOD(SalesData[[#This Row],[Row ID]]-1,8)+1,"Aarav Sharma","Ananya Singh","Rohan Verma","Priya Gupta","Arjun Mehta","Neha Kapoor","Rahul Joshi","Sneha Patel")</f>
        <v>Priya Gupta</v>
      </c>
      <c r="W38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86" s="8">
        <f>IFERROR(VALUE(SUBSTITUTE(SUBSTITUTE(SalesData[[#This Row],[Profit]],"$",""),",",""))/VALUE(SUBSTITUTE(SUBSTITUTE(SalesData[[#This Row],[Sales]],"$",""),",","")),0)</f>
        <v>7.3113207547169809E-2</v>
      </c>
      <c r="Y386" s="6">
        <f>IFERROR(VALUE(SUBSTITUTE(SUBSTITUTE(SalesData[[#This Row],[Sales]],"$",""),",",""))/SalesData[[#This Row],[Quantity]],0)</f>
        <v>16.253333333333334</v>
      </c>
      <c r="Z386">
        <f>YEAR(SalesData[[#This Row],[Order Date]])</f>
        <v>2023</v>
      </c>
      <c r="AA386" t="str">
        <f>TEXT(SalesData[[#This Row],[Order Date]],"mmm")</f>
        <v>Dec</v>
      </c>
      <c r="AB38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87" spans="1:28">
      <c r="A387">
        <v>539</v>
      </c>
      <c r="B387" t="s">
        <v>2289</v>
      </c>
      <c r="C387" s="1">
        <v>45280</v>
      </c>
      <c r="D387" s="1">
        <v>45283</v>
      </c>
      <c r="E387" t="s">
        <v>36</v>
      </c>
      <c r="F387" t="s">
        <v>2290</v>
      </c>
      <c r="G387" t="s">
        <v>1044</v>
      </c>
      <c r="H387" t="s">
        <v>25</v>
      </c>
      <c r="I387" t="s">
        <v>26</v>
      </c>
      <c r="J387" t="s">
        <v>157</v>
      </c>
      <c r="K387" t="s">
        <v>157</v>
      </c>
      <c r="L387">
        <v>95013</v>
      </c>
      <c r="M387" t="s">
        <v>62</v>
      </c>
      <c r="N387" t="s">
        <v>661</v>
      </c>
      <c r="O387" t="s">
        <v>43</v>
      </c>
      <c r="P387" t="s">
        <v>128</v>
      </c>
      <c r="Q387" t="s">
        <v>2291</v>
      </c>
      <c r="R387" t="s">
        <v>2292</v>
      </c>
      <c r="S387">
        <v>4</v>
      </c>
      <c r="T387" s="2">
        <v>0.3</v>
      </c>
      <c r="U387" t="s">
        <v>2293</v>
      </c>
      <c r="V387" t="str">
        <f>CHOOSE(MOD(SalesData[[#This Row],[Row ID]]-1,8)+1,"Aarav Sharma","Ananya Singh","Rohan Verma","Priya Gupta","Arjun Mehta","Neha Kapoor","Rahul Joshi","Sneha Patel")</f>
        <v>Rohan Verma</v>
      </c>
      <c r="W38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87" s="8">
        <f>IFERROR(VALUE(SUBSTITUTE(SUBSTITUTE(SalesData[[#This Row],[Profit]],"$",""),",",""))/VALUE(SUBSTITUTE(SUBSTITUTE(SalesData[[#This Row],[Sales]],"$",""),",","")),0)</f>
        <v>1.2794268167860799E-2</v>
      </c>
      <c r="Y387" s="6">
        <f>IFERROR(VALUE(SUBSTITUTE(SUBSTITUTE(SalesData[[#This Row],[Sales]],"$",""),",",""))/SalesData[[#This Row],[Quantity]],0)</f>
        <v>4.8849999999999998</v>
      </c>
      <c r="Z387">
        <f>YEAR(SalesData[[#This Row],[Order Date]])</f>
        <v>2023</v>
      </c>
      <c r="AA387" t="str">
        <f>TEXT(SalesData[[#This Row],[Order Date]],"mmm")</f>
        <v>Dec</v>
      </c>
      <c r="AB38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88" spans="1:28">
      <c r="A388">
        <v>100</v>
      </c>
      <c r="B388" t="s">
        <v>2294</v>
      </c>
      <c r="C388" s="1">
        <v>45287</v>
      </c>
      <c r="D388" s="1">
        <v>45290</v>
      </c>
      <c r="E388" t="s">
        <v>36</v>
      </c>
      <c r="F388" t="s">
        <v>2295</v>
      </c>
      <c r="G388" t="s">
        <v>648</v>
      </c>
      <c r="H388" t="s">
        <v>25</v>
      </c>
      <c r="I388" t="s">
        <v>26</v>
      </c>
      <c r="J388" t="s">
        <v>81</v>
      </c>
      <c r="K388" t="s">
        <v>81</v>
      </c>
      <c r="L388">
        <v>46451</v>
      </c>
      <c r="M388" t="s">
        <v>62</v>
      </c>
      <c r="N388" t="s">
        <v>2296</v>
      </c>
      <c r="O388" t="s">
        <v>30</v>
      </c>
      <c r="P388" t="s">
        <v>197</v>
      </c>
      <c r="Q388" t="s">
        <v>1896</v>
      </c>
      <c r="R388" t="s">
        <v>2297</v>
      </c>
      <c r="S388">
        <v>5</v>
      </c>
      <c r="T388" s="2">
        <v>0.1</v>
      </c>
      <c r="U388" t="s">
        <v>2298</v>
      </c>
      <c r="V388" t="str">
        <f>CHOOSE(MOD(SalesData[[#This Row],[Row ID]]-1,8)+1,"Aarav Sharma","Ananya Singh","Rohan Verma","Priya Gupta","Arjun Mehta","Neha Kapoor","Rahul Joshi","Sneha Patel")</f>
        <v>Priya Gupta</v>
      </c>
      <c r="W38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388" s="8">
        <f>IFERROR(VALUE(SUBSTITUTE(SUBSTITUTE(SalesData[[#This Row],[Profit]],"$",""),",",""))/VALUE(SUBSTITUTE(SUBSTITUTE(SalesData[[#This Row],[Sales]],"$",""),",","")),0)</f>
        <v>0.13381895563922083</v>
      </c>
      <c r="Y388" s="6">
        <f>IFERROR(VALUE(SUBSTITUTE(SUBSTITUTE(SalesData[[#This Row],[Sales]],"$",""),",",""))/SalesData[[#This Row],[Quantity]],0)</f>
        <v>24.436</v>
      </c>
      <c r="Z388">
        <f>YEAR(SalesData[[#This Row],[Order Date]])</f>
        <v>2023</v>
      </c>
      <c r="AA388" t="str">
        <f>TEXT(SalesData[[#This Row],[Order Date]],"mmm")</f>
        <v>Dec</v>
      </c>
      <c r="AB38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89" spans="1:28">
      <c r="A389">
        <v>426</v>
      </c>
      <c r="B389" t="s">
        <v>2299</v>
      </c>
      <c r="C389" s="1">
        <v>45291</v>
      </c>
      <c r="D389" s="1">
        <v>45293</v>
      </c>
      <c r="E389" t="s">
        <v>22</v>
      </c>
      <c r="F389" t="s">
        <v>2300</v>
      </c>
      <c r="G389" t="s">
        <v>458</v>
      </c>
      <c r="H389" t="s">
        <v>25</v>
      </c>
      <c r="I389" t="s">
        <v>26</v>
      </c>
      <c r="J389" t="s">
        <v>72</v>
      </c>
      <c r="K389" t="s">
        <v>72</v>
      </c>
      <c r="L389">
        <v>91976</v>
      </c>
      <c r="M389" t="s">
        <v>73</v>
      </c>
      <c r="N389" t="s">
        <v>2301</v>
      </c>
      <c r="O389" t="s">
        <v>43</v>
      </c>
      <c r="P389" t="s">
        <v>166</v>
      </c>
      <c r="Q389" t="s">
        <v>2031</v>
      </c>
      <c r="R389" t="s">
        <v>2302</v>
      </c>
      <c r="S389">
        <v>6</v>
      </c>
      <c r="T389" s="2">
        <v>0</v>
      </c>
      <c r="U389" t="s">
        <v>1426</v>
      </c>
      <c r="V389" t="str">
        <f>CHOOSE(MOD(SalesData[[#This Row],[Row ID]]-1,8)+1,"Aarav Sharma","Ananya Singh","Rohan Verma","Priya Gupta","Arjun Mehta","Neha Kapoor","Rahul Joshi","Sneha Patel")</f>
        <v>Ananya Singh</v>
      </c>
      <c r="W38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89" s="8">
        <f>IFERROR(VALUE(SUBSTITUTE(SUBSTITUTE(SalesData[[#This Row],[Profit]],"$",""),",",""))/VALUE(SUBSTITUTE(SUBSTITUTE(SalesData[[#This Row],[Sales]],"$",""),",","")),0)</f>
        <v>0.25865533230293664</v>
      </c>
      <c r="Y389" s="6">
        <f>IFERROR(VALUE(SUBSTITUTE(SUBSTITUTE(SalesData[[#This Row],[Sales]],"$",""),",",""))/SalesData[[#This Row],[Quantity]],0)</f>
        <v>21.566666666666666</v>
      </c>
      <c r="Z389">
        <f>YEAR(SalesData[[#This Row],[Order Date]])</f>
        <v>2023</v>
      </c>
      <c r="AA389" t="str">
        <f>TEXT(SalesData[[#This Row],[Order Date]],"mmm")</f>
        <v>Dec</v>
      </c>
      <c r="AB38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90" spans="1:28">
      <c r="A390">
        <v>321</v>
      </c>
      <c r="B390" t="s">
        <v>2303</v>
      </c>
      <c r="C390" s="1">
        <v>45291</v>
      </c>
      <c r="D390" s="1">
        <v>45294</v>
      </c>
      <c r="E390" t="s">
        <v>36</v>
      </c>
      <c r="F390" t="s">
        <v>2304</v>
      </c>
      <c r="G390" t="s">
        <v>445</v>
      </c>
      <c r="H390" t="s">
        <v>25</v>
      </c>
      <c r="I390" t="s">
        <v>26</v>
      </c>
      <c r="J390" t="s">
        <v>301</v>
      </c>
      <c r="K390" t="s">
        <v>301</v>
      </c>
      <c r="L390">
        <v>49041</v>
      </c>
      <c r="M390" t="s">
        <v>73</v>
      </c>
      <c r="N390" t="s">
        <v>205</v>
      </c>
      <c r="O390" t="s">
        <v>43</v>
      </c>
      <c r="P390" t="s">
        <v>189</v>
      </c>
      <c r="Q390" t="s">
        <v>603</v>
      </c>
      <c r="R390" t="s">
        <v>2305</v>
      </c>
      <c r="S390">
        <v>2</v>
      </c>
      <c r="T390" s="2">
        <v>0</v>
      </c>
      <c r="U390" t="s">
        <v>2306</v>
      </c>
      <c r="V390" t="str">
        <f>CHOOSE(MOD(SalesData[[#This Row],[Row ID]]-1,8)+1,"Aarav Sharma","Ananya Singh","Rohan Verma","Priya Gupta","Arjun Mehta","Neha Kapoor","Rahul Joshi","Sneha Patel")</f>
        <v>Aarav Sharma</v>
      </c>
      <c r="W39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90" s="8">
        <f>IFERROR(VALUE(SUBSTITUTE(SUBSTITUTE(SalesData[[#This Row],[Profit]],"$",""),",",""))/VALUE(SUBSTITUTE(SUBSTITUTE(SalesData[[#This Row],[Sales]],"$",""),",","")),0)</f>
        <v>0.18278000729660707</v>
      </c>
      <c r="Y390" s="6">
        <f>IFERROR(VALUE(SUBSTITUTE(SUBSTITUTE(SalesData[[#This Row],[Sales]],"$",""),",",""))/SalesData[[#This Row],[Quantity]],0)</f>
        <v>13.705</v>
      </c>
      <c r="Z390">
        <f>YEAR(SalesData[[#This Row],[Order Date]])</f>
        <v>2023</v>
      </c>
      <c r="AA390" t="str">
        <f>TEXT(SalesData[[#This Row],[Order Date]],"mmm")</f>
        <v>Dec</v>
      </c>
      <c r="AB39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91" spans="1:28">
      <c r="A391">
        <v>593</v>
      </c>
      <c r="B391" t="s">
        <v>2307</v>
      </c>
      <c r="C391" s="1">
        <v>45292</v>
      </c>
      <c r="D391" s="1">
        <v>45296</v>
      </c>
      <c r="E391" t="s">
        <v>36</v>
      </c>
      <c r="F391" t="s">
        <v>2308</v>
      </c>
      <c r="G391" t="s">
        <v>2309</v>
      </c>
      <c r="H391" t="s">
        <v>60</v>
      </c>
      <c r="I391" t="s">
        <v>26</v>
      </c>
      <c r="J391" t="s">
        <v>81</v>
      </c>
      <c r="K391" t="s">
        <v>81</v>
      </c>
      <c r="L391">
        <v>57445</v>
      </c>
      <c r="M391" t="s">
        <v>62</v>
      </c>
      <c r="N391" t="s">
        <v>2221</v>
      </c>
      <c r="O391" t="s">
        <v>30</v>
      </c>
      <c r="P391" t="s">
        <v>120</v>
      </c>
      <c r="Q391" t="s">
        <v>357</v>
      </c>
      <c r="R391" t="s">
        <v>2310</v>
      </c>
      <c r="S391">
        <v>6</v>
      </c>
      <c r="T391" s="2">
        <v>0.2</v>
      </c>
      <c r="U391" t="s">
        <v>2311</v>
      </c>
      <c r="V391" t="str">
        <f>CHOOSE(MOD(SalesData[[#This Row],[Row ID]]-1,8)+1,"Aarav Sharma","Ananya Singh","Rohan Verma","Priya Gupta","Arjun Mehta","Neha Kapoor","Rahul Joshi","Sneha Patel")</f>
        <v>Aarav Sharma</v>
      </c>
      <c r="W39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91" s="8">
        <f>IFERROR(VALUE(SUBSTITUTE(SUBSTITUTE(SalesData[[#This Row],[Profit]],"$",""),",",""))/VALUE(SUBSTITUTE(SUBSTITUTE(SalesData[[#This Row],[Sales]],"$",""),",","")),0)</f>
        <v>-1.2549263638249325E-2</v>
      </c>
      <c r="Y391" s="6">
        <f>IFERROR(VALUE(SUBSTITUTE(SUBSTITUTE(SalesData[[#This Row],[Sales]],"$",""),",",""))/SalesData[[#This Row],[Quantity]],0)</f>
        <v>16.07</v>
      </c>
      <c r="Z391">
        <f>YEAR(SalesData[[#This Row],[Order Date]])</f>
        <v>2024</v>
      </c>
      <c r="AA391" t="str">
        <f>TEXT(SalesData[[#This Row],[Order Date]],"mmm")</f>
        <v>Jan</v>
      </c>
      <c r="AB39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92" spans="1:28">
      <c r="A392">
        <v>269</v>
      </c>
      <c r="B392" t="s">
        <v>2312</v>
      </c>
      <c r="C392" s="1">
        <v>45292</v>
      </c>
      <c r="D392" s="1">
        <v>45294</v>
      </c>
      <c r="E392" t="s">
        <v>36</v>
      </c>
      <c r="F392" t="s">
        <v>2313</v>
      </c>
      <c r="G392" t="s">
        <v>180</v>
      </c>
      <c r="H392" t="s">
        <v>25</v>
      </c>
      <c r="I392" t="s">
        <v>26</v>
      </c>
      <c r="J392" t="s">
        <v>260</v>
      </c>
      <c r="K392" t="s">
        <v>260</v>
      </c>
      <c r="L392">
        <v>99524</v>
      </c>
      <c r="M392" t="s">
        <v>41</v>
      </c>
      <c r="N392" t="s">
        <v>2314</v>
      </c>
      <c r="O392" t="s">
        <v>43</v>
      </c>
      <c r="P392" t="s">
        <v>83</v>
      </c>
      <c r="Q392" t="s">
        <v>2315</v>
      </c>
      <c r="R392" t="s">
        <v>2316</v>
      </c>
      <c r="S392">
        <v>2</v>
      </c>
      <c r="T392" s="2">
        <v>0</v>
      </c>
      <c r="U392" t="s">
        <v>2317</v>
      </c>
      <c r="V392" t="str">
        <f>CHOOSE(MOD(SalesData[[#This Row],[Row ID]]-1,8)+1,"Aarav Sharma","Ananya Singh","Rohan Verma","Priya Gupta","Arjun Mehta","Neha Kapoor","Rahul Joshi","Sneha Patel")</f>
        <v>Arjun Mehta</v>
      </c>
      <c r="W39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92" s="8">
        <f>IFERROR(VALUE(SUBSTITUTE(SUBSTITUTE(SalesData[[#This Row],[Profit]],"$",""),",",""))/VALUE(SUBSTITUTE(SUBSTITUTE(SalesData[[#This Row],[Sales]],"$",""),",","")),0)</f>
        <v>0.20088626292466766</v>
      </c>
      <c r="Y392" s="6">
        <f>IFERROR(VALUE(SUBSTITUTE(SUBSTITUTE(SalesData[[#This Row],[Sales]],"$",""),",",""))/SalesData[[#This Row],[Quantity]],0)</f>
        <v>37.234999999999999</v>
      </c>
      <c r="Z392">
        <f>YEAR(SalesData[[#This Row],[Order Date]])</f>
        <v>2024</v>
      </c>
      <c r="AA392" t="str">
        <f>TEXT(SalesData[[#This Row],[Order Date]],"mmm")</f>
        <v>Jan</v>
      </c>
      <c r="AB39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93" spans="1:28">
      <c r="A393">
        <v>246</v>
      </c>
      <c r="B393" t="s">
        <v>2318</v>
      </c>
      <c r="C393" s="1">
        <v>45293</v>
      </c>
      <c r="D393" s="1">
        <v>45299</v>
      </c>
      <c r="E393" t="s">
        <v>36</v>
      </c>
      <c r="F393" t="s">
        <v>2319</v>
      </c>
      <c r="G393" t="s">
        <v>172</v>
      </c>
      <c r="H393" t="s">
        <v>25</v>
      </c>
      <c r="I393" t="s">
        <v>26</v>
      </c>
      <c r="J393" t="s">
        <v>301</v>
      </c>
      <c r="K393" t="s">
        <v>301</v>
      </c>
      <c r="L393">
        <v>15454</v>
      </c>
      <c r="M393" t="s">
        <v>73</v>
      </c>
      <c r="N393" t="s">
        <v>1299</v>
      </c>
      <c r="O393" t="s">
        <v>30</v>
      </c>
      <c r="P393" t="s">
        <v>197</v>
      </c>
      <c r="Q393" t="s">
        <v>2320</v>
      </c>
      <c r="R393" t="s">
        <v>2321</v>
      </c>
      <c r="S393">
        <v>1</v>
      </c>
      <c r="T393" s="2">
        <v>0.15</v>
      </c>
      <c r="U393" t="s">
        <v>2322</v>
      </c>
      <c r="V393" t="str">
        <f>CHOOSE(MOD(SalesData[[#This Row],[Row ID]]-1,8)+1,"Aarav Sharma","Ananya Singh","Rohan Verma","Priya Gupta","Arjun Mehta","Neha Kapoor","Rahul Joshi","Sneha Patel")</f>
        <v>Neha Kapoor</v>
      </c>
      <c r="W39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93" s="8">
        <f>IFERROR(VALUE(SUBSTITUTE(SUBSTITUTE(SalesData[[#This Row],[Profit]],"$",""),",",""))/VALUE(SUBSTITUTE(SUBSTITUTE(SalesData[[#This Row],[Sales]],"$",""),",","")),0)</f>
        <v>9.7550333478775786E-2</v>
      </c>
      <c r="Y393" s="6">
        <f>IFERROR(VALUE(SUBSTITUTE(SUBSTITUTE(SalesData[[#This Row],[Sales]],"$",""),",",""))/SalesData[[#This Row],[Quantity]],0)</f>
        <v>160.43</v>
      </c>
      <c r="Z393">
        <f>YEAR(SalesData[[#This Row],[Order Date]])</f>
        <v>2024</v>
      </c>
      <c r="AA393" t="str">
        <f>TEXT(SalesData[[#This Row],[Order Date]],"mmm")</f>
        <v>Jan</v>
      </c>
      <c r="AB39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94" spans="1:28">
      <c r="A394">
        <v>81</v>
      </c>
      <c r="B394" t="s">
        <v>2323</v>
      </c>
      <c r="C394" s="1">
        <v>45295</v>
      </c>
      <c r="D394" s="1">
        <v>45297</v>
      </c>
      <c r="E394" t="s">
        <v>36</v>
      </c>
      <c r="F394" t="s">
        <v>2324</v>
      </c>
      <c r="G394" t="s">
        <v>71</v>
      </c>
      <c r="H394" t="s">
        <v>25</v>
      </c>
      <c r="I394" t="s">
        <v>26</v>
      </c>
      <c r="J394" t="s">
        <v>173</v>
      </c>
      <c r="K394" t="s">
        <v>173</v>
      </c>
      <c r="L394">
        <v>95708</v>
      </c>
      <c r="M394" t="s">
        <v>73</v>
      </c>
      <c r="N394" t="s">
        <v>1630</v>
      </c>
      <c r="O394" t="s">
        <v>43</v>
      </c>
      <c r="P394" t="s">
        <v>83</v>
      </c>
      <c r="Q394" t="s">
        <v>609</v>
      </c>
      <c r="R394" t="s">
        <v>2325</v>
      </c>
      <c r="S394">
        <v>2</v>
      </c>
      <c r="T394" s="2">
        <v>0.3</v>
      </c>
      <c r="U394" t="s">
        <v>2326</v>
      </c>
      <c r="V394" t="str">
        <f>CHOOSE(MOD(SalesData[[#This Row],[Row ID]]-1,8)+1,"Aarav Sharma","Ananya Singh","Rohan Verma","Priya Gupta","Arjun Mehta","Neha Kapoor","Rahul Joshi","Sneha Patel")</f>
        <v>Aarav Sharma</v>
      </c>
      <c r="W39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94" s="8">
        <f>IFERROR(VALUE(SUBSTITUTE(SUBSTITUTE(SalesData[[#This Row],[Profit]],"$",""),",",""))/VALUE(SUBSTITUTE(SUBSTITUTE(SalesData[[#This Row],[Sales]],"$",""),",","")),0)</f>
        <v>-2.4815327793167127E-2</v>
      </c>
      <c r="Y394" s="6">
        <f>IFERROR(VALUE(SUBSTITUTE(SUBSTITUTE(SalesData[[#This Row],[Sales]],"$",""),",",""))/SalesData[[#This Row],[Quantity]],0)</f>
        <v>43.32</v>
      </c>
      <c r="Z394">
        <f>YEAR(SalesData[[#This Row],[Order Date]])</f>
        <v>2024</v>
      </c>
      <c r="AA394" t="str">
        <f>TEXT(SalesData[[#This Row],[Order Date]],"mmm")</f>
        <v>Jan</v>
      </c>
      <c r="AB39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95" spans="1:28">
      <c r="A395">
        <v>217</v>
      </c>
      <c r="B395" t="s">
        <v>2327</v>
      </c>
      <c r="C395" s="1">
        <v>45297</v>
      </c>
      <c r="D395" s="1">
        <v>45300</v>
      </c>
      <c r="E395" t="s">
        <v>49</v>
      </c>
      <c r="F395" t="s">
        <v>2328</v>
      </c>
      <c r="G395" t="s">
        <v>1519</v>
      </c>
      <c r="H395" t="s">
        <v>60</v>
      </c>
      <c r="I395" t="s">
        <v>26</v>
      </c>
      <c r="J395" t="s">
        <v>61</v>
      </c>
      <c r="K395" t="s">
        <v>61</v>
      </c>
      <c r="L395">
        <v>62198</v>
      </c>
      <c r="M395" t="s">
        <v>62</v>
      </c>
      <c r="N395" t="s">
        <v>2329</v>
      </c>
      <c r="O395" t="s">
        <v>43</v>
      </c>
      <c r="P395" t="s">
        <v>166</v>
      </c>
      <c r="Q395" t="s">
        <v>2330</v>
      </c>
      <c r="R395" t="s">
        <v>2331</v>
      </c>
      <c r="S395">
        <v>4</v>
      </c>
      <c r="T395" s="2">
        <v>0.15</v>
      </c>
      <c r="U395" t="s">
        <v>2332</v>
      </c>
      <c r="V395" t="str">
        <f>CHOOSE(MOD(SalesData[[#This Row],[Row ID]]-1,8)+1,"Aarav Sharma","Ananya Singh","Rohan Verma","Priya Gupta","Arjun Mehta","Neha Kapoor","Rahul Joshi","Sneha Patel")</f>
        <v>Aarav Sharma</v>
      </c>
      <c r="W39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95" s="8">
        <f>IFERROR(VALUE(SUBSTITUTE(SUBSTITUTE(SalesData[[#This Row],[Profit]],"$",""),",",""))/VALUE(SUBSTITUTE(SUBSTITUTE(SalesData[[#This Row],[Sales]],"$",""),",","")),0)</f>
        <v>0.16290435187340005</v>
      </c>
      <c r="Y395" s="6">
        <f>IFERROR(VALUE(SUBSTITUTE(SUBSTITUTE(SalesData[[#This Row],[Sales]],"$",""),",",""))/SalesData[[#This Row],[Quantity]],0)</f>
        <v>10.7425</v>
      </c>
      <c r="Z395">
        <f>YEAR(SalesData[[#This Row],[Order Date]])</f>
        <v>2024</v>
      </c>
      <c r="AA395" t="str">
        <f>TEXT(SalesData[[#This Row],[Order Date]],"mmm")</f>
        <v>Jan</v>
      </c>
      <c r="AB39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96" spans="1:28">
      <c r="A396">
        <v>359</v>
      </c>
      <c r="B396" t="s">
        <v>2333</v>
      </c>
      <c r="C396" s="1">
        <v>45299</v>
      </c>
      <c r="D396" s="1">
        <v>45305</v>
      </c>
      <c r="E396" t="s">
        <v>36</v>
      </c>
      <c r="F396" t="s">
        <v>2334</v>
      </c>
      <c r="G396" t="s">
        <v>142</v>
      </c>
      <c r="H396" t="s">
        <v>39</v>
      </c>
      <c r="I396" t="s">
        <v>26</v>
      </c>
      <c r="J396" t="s">
        <v>212</v>
      </c>
      <c r="K396" t="s">
        <v>212</v>
      </c>
      <c r="L396">
        <v>81776</v>
      </c>
      <c r="M396" t="s">
        <v>28</v>
      </c>
      <c r="N396" t="s">
        <v>2003</v>
      </c>
      <c r="O396" t="s">
        <v>43</v>
      </c>
      <c r="P396" t="s">
        <v>166</v>
      </c>
      <c r="Q396" t="s">
        <v>1647</v>
      </c>
      <c r="R396" t="s">
        <v>2335</v>
      </c>
      <c r="S396">
        <v>7</v>
      </c>
      <c r="T396" s="2">
        <v>0.5</v>
      </c>
      <c r="U396" t="s">
        <v>2336</v>
      </c>
      <c r="V396" t="str">
        <f>CHOOSE(MOD(SalesData[[#This Row],[Row ID]]-1,8)+1,"Aarav Sharma","Ananya Singh","Rohan Verma","Priya Gupta","Arjun Mehta","Neha Kapoor","Rahul Joshi","Sneha Patel")</f>
        <v>Rahul Joshi</v>
      </c>
      <c r="W39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96" s="8">
        <f>IFERROR(VALUE(SUBSTITUTE(SUBSTITUTE(SalesData[[#This Row],[Profit]],"$",""),",",""))/VALUE(SUBSTITUTE(SUBSTITUTE(SalesData[[#This Row],[Sales]],"$",""),",","")),0)</f>
        <v>-0.20052424639580602</v>
      </c>
      <c r="Y396" s="6">
        <f>IFERROR(VALUE(SUBSTITUTE(SUBSTITUTE(SalesData[[#This Row],[Sales]],"$",""),",",""))/SalesData[[#This Row],[Quantity]],0)</f>
        <v>6.54</v>
      </c>
      <c r="Z396">
        <f>YEAR(SalesData[[#This Row],[Order Date]])</f>
        <v>2024</v>
      </c>
      <c r="AA396" t="str">
        <f>TEXT(SalesData[[#This Row],[Order Date]],"mmm")</f>
        <v>Jan</v>
      </c>
      <c r="AB39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397" spans="1:28">
      <c r="A397">
        <v>106</v>
      </c>
      <c r="B397" t="s">
        <v>2337</v>
      </c>
      <c r="C397" s="1">
        <v>45299</v>
      </c>
      <c r="D397" s="1">
        <v>45300</v>
      </c>
      <c r="E397" t="s">
        <v>36</v>
      </c>
      <c r="F397" t="s">
        <v>2338</v>
      </c>
      <c r="G397" t="s">
        <v>1429</v>
      </c>
      <c r="H397" t="s">
        <v>25</v>
      </c>
      <c r="I397" t="s">
        <v>26</v>
      </c>
      <c r="J397" t="s">
        <v>204</v>
      </c>
      <c r="K397" t="s">
        <v>204</v>
      </c>
      <c r="L397">
        <v>93362</v>
      </c>
      <c r="M397" t="s">
        <v>28</v>
      </c>
      <c r="N397" t="s">
        <v>2339</v>
      </c>
      <c r="O397" t="s">
        <v>43</v>
      </c>
      <c r="P397" t="s">
        <v>128</v>
      </c>
      <c r="Q397" t="s">
        <v>2340</v>
      </c>
      <c r="R397" t="s">
        <v>2341</v>
      </c>
      <c r="S397">
        <v>4</v>
      </c>
      <c r="T397" s="2">
        <v>0.1</v>
      </c>
      <c r="U397" t="s">
        <v>2342</v>
      </c>
      <c r="V397" t="str">
        <f>CHOOSE(MOD(SalesData[[#This Row],[Row ID]]-1,8)+1,"Aarav Sharma","Ananya Singh","Rohan Verma","Priya Gupta","Arjun Mehta","Neha Kapoor","Rahul Joshi","Sneha Patel")</f>
        <v>Ananya Singh</v>
      </c>
      <c r="W39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397" s="8">
        <f>IFERROR(VALUE(SUBSTITUTE(SUBSTITUTE(SalesData[[#This Row],[Profit]],"$",""),",",""))/VALUE(SUBSTITUTE(SUBSTITUTE(SalesData[[#This Row],[Sales]],"$",""),",","")),0)</f>
        <v>0.17184019010842122</v>
      </c>
      <c r="Y397" s="6">
        <f>IFERROR(VALUE(SUBSTITUTE(SUBSTITUTE(SalesData[[#This Row],[Sales]],"$",""),",",""))/SalesData[[#This Row],[Quantity]],0)</f>
        <v>16.8325</v>
      </c>
      <c r="Z397">
        <f>YEAR(SalesData[[#This Row],[Order Date]])</f>
        <v>2024</v>
      </c>
      <c r="AA397" t="str">
        <f>TEXT(SalesData[[#This Row],[Order Date]],"mmm")</f>
        <v>Jan</v>
      </c>
      <c r="AB39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398" spans="1:28">
      <c r="A398">
        <v>73</v>
      </c>
      <c r="B398" t="s">
        <v>2343</v>
      </c>
      <c r="C398" s="1">
        <v>45299</v>
      </c>
      <c r="D398" s="1">
        <v>45304</v>
      </c>
      <c r="E398" t="s">
        <v>36</v>
      </c>
      <c r="F398" t="s">
        <v>2344</v>
      </c>
      <c r="G398" t="s">
        <v>103</v>
      </c>
      <c r="H398" t="s">
        <v>39</v>
      </c>
      <c r="I398" t="s">
        <v>26</v>
      </c>
      <c r="J398" t="s">
        <v>301</v>
      </c>
      <c r="K398" t="s">
        <v>301</v>
      </c>
      <c r="L398">
        <v>19903</v>
      </c>
      <c r="M398" t="s">
        <v>73</v>
      </c>
      <c r="N398" t="s">
        <v>2345</v>
      </c>
      <c r="O398" t="s">
        <v>43</v>
      </c>
      <c r="P398" t="s">
        <v>214</v>
      </c>
      <c r="Q398" t="s">
        <v>2264</v>
      </c>
      <c r="R398" t="s">
        <v>2346</v>
      </c>
      <c r="S398">
        <v>2</v>
      </c>
      <c r="T398" s="2">
        <v>0.15</v>
      </c>
      <c r="U398" t="s">
        <v>1084</v>
      </c>
      <c r="V398" t="str">
        <f>CHOOSE(MOD(SalesData[[#This Row],[Row ID]]-1,8)+1,"Aarav Sharma","Ananya Singh","Rohan Verma","Priya Gupta","Arjun Mehta","Neha Kapoor","Rahul Joshi","Sneha Patel")</f>
        <v>Aarav Sharma</v>
      </c>
      <c r="W39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398" s="8">
        <f>IFERROR(VALUE(SUBSTITUTE(SUBSTITUTE(SalesData[[#This Row],[Profit]],"$",""),",",""))/VALUE(SUBSTITUTE(SUBSTITUTE(SalesData[[#This Row],[Sales]],"$",""),",","")),0)</f>
        <v>9.9660249150622882E-2</v>
      </c>
      <c r="Y398" s="6">
        <f>IFERROR(VALUE(SUBSTITUTE(SUBSTITUTE(SalesData[[#This Row],[Sales]],"$",""),",",""))/SalesData[[#This Row],[Quantity]],0)</f>
        <v>8.83</v>
      </c>
      <c r="Z398">
        <f>YEAR(SalesData[[#This Row],[Order Date]])</f>
        <v>2024</v>
      </c>
      <c r="AA398" t="str">
        <f>TEXT(SalesData[[#This Row],[Order Date]],"mmm")</f>
        <v>Jan</v>
      </c>
      <c r="AB39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399" spans="1:28">
      <c r="A399">
        <v>495</v>
      </c>
      <c r="B399" t="s">
        <v>2347</v>
      </c>
      <c r="C399" s="1">
        <v>45301</v>
      </c>
      <c r="D399" s="1">
        <v>45304</v>
      </c>
      <c r="E399" t="s">
        <v>49</v>
      </c>
      <c r="F399" t="s">
        <v>2348</v>
      </c>
      <c r="G399" t="s">
        <v>1154</v>
      </c>
      <c r="H399" t="s">
        <v>39</v>
      </c>
      <c r="I399" t="s">
        <v>26</v>
      </c>
      <c r="J399" t="s">
        <v>438</v>
      </c>
      <c r="K399" t="s">
        <v>438</v>
      </c>
      <c r="L399">
        <v>96158</v>
      </c>
      <c r="M399" t="s">
        <v>28</v>
      </c>
      <c r="N399" t="s">
        <v>268</v>
      </c>
      <c r="O399" t="s">
        <v>64</v>
      </c>
      <c r="P399" t="s">
        <v>136</v>
      </c>
      <c r="Q399" t="s">
        <v>2349</v>
      </c>
      <c r="R399" t="s">
        <v>2350</v>
      </c>
      <c r="S399">
        <v>4</v>
      </c>
      <c r="T399" s="2">
        <v>0.4</v>
      </c>
      <c r="U399" t="s">
        <v>1575</v>
      </c>
      <c r="V399" t="str">
        <f>CHOOSE(MOD(SalesData[[#This Row],[Row ID]]-1,8)+1,"Aarav Sharma","Ananya Singh","Rohan Verma","Priya Gupta","Arjun Mehta","Neha Kapoor","Rahul Joshi","Sneha Patel")</f>
        <v>Rahul Joshi</v>
      </c>
      <c r="W39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399" s="8">
        <f>IFERROR(VALUE(SUBSTITUTE(SUBSTITUTE(SalesData[[#This Row],[Profit]],"$",""),",",""))/VALUE(SUBSTITUTE(SUBSTITUTE(SalesData[[#This Row],[Sales]],"$",""),",","")),0)</f>
        <v>1.1850681414181316E-3</v>
      </c>
      <c r="Y399" s="6">
        <f>IFERROR(VALUE(SUBSTITUTE(SUBSTITUTE(SalesData[[#This Row],[Sales]],"$",""),",",""))/SalesData[[#This Row],[Quantity]],0)</f>
        <v>139.23249999999999</v>
      </c>
      <c r="Z399">
        <f>YEAR(SalesData[[#This Row],[Order Date]])</f>
        <v>2024</v>
      </c>
      <c r="AA399" t="str">
        <f>TEXT(SalesData[[#This Row],[Order Date]],"mmm")</f>
        <v>Jan</v>
      </c>
      <c r="AB39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00" spans="1:28">
      <c r="A400">
        <v>114</v>
      </c>
      <c r="B400" t="s">
        <v>2351</v>
      </c>
      <c r="C400" s="1">
        <v>45305</v>
      </c>
      <c r="D400" s="1">
        <v>45309</v>
      </c>
      <c r="E400" t="s">
        <v>382</v>
      </c>
      <c r="F400" t="s">
        <v>2352</v>
      </c>
      <c r="G400" t="s">
        <v>180</v>
      </c>
      <c r="H400" t="s">
        <v>25</v>
      </c>
      <c r="I400" t="s">
        <v>26</v>
      </c>
      <c r="J400" t="s">
        <v>173</v>
      </c>
      <c r="K400" t="s">
        <v>173</v>
      </c>
      <c r="L400">
        <v>38671</v>
      </c>
      <c r="M400" t="s">
        <v>73</v>
      </c>
      <c r="N400" t="s">
        <v>2353</v>
      </c>
      <c r="O400" t="s">
        <v>43</v>
      </c>
      <c r="P400" t="s">
        <v>189</v>
      </c>
      <c r="Q400" t="s">
        <v>2354</v>
      </c>
      <c r="R400" t="s">
        <v>2355</v>
      </c>
      <c r="S400">
        <v>5</v>
      </c>
      <c r="T400" s="2">
        <v>0.1</v>
      </c>
      <c r="U400" t="s">
        <v>2356</v>
      </c>
      <c r="V400" t="str">
        <f>CHOOSE(MOD(SalesData[[#This Row],[Row ID]]-1,8)+1,"Aarav Sharma","Ananya Singh","Rohan Verma","Priya Gupta","Arjun Mehta","Neha Kapoor","Rahul Joshi","Sneha Patel")</f>
        <v>Ananya Singh</v>
      </c>
      <c r="W40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00" s="8">
        <f>IFERROR(VALUE(SUBSTITUTE(SUBSTITUTE(SalesData[[#This Row],[Profit]],"$",""),",",""))/VALUE(SUBSTITUTE(SUBSTITUTE(SalesData[[#This Row],[Sales]],"$",""),",","")),0)</f>
        <v>0.11954741700163762</v>
      </c>
      <c r="Y400" s="6">
        <f>IFERROR(VALUE(SUBSTITUTE(SUBSTITUTE(SalesData[[#This Row],[Sales]],"$",""),",",""))/SalesData[[#This Row],[Quantity]],0)</f>
        <v>26.868000000000002</v>
      </c>
      <c r="Z400">
        <f>YEAR(SalesData[[#This Row],[Order Date]])</f>
        <v>2024</v>
      </c>
      <c r="AA400" t="str">
        <f>TEXT(SalesData[[#This Row],[Order Date]],"mmm")</f>
        <v>Jan</v>
      </c>
      <c r="AB40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01" spans="1:28">
      <c r="A401">
        <v>296</v>
      </c>
      <c r="B401" t="s">
        <v>2357</v>
      </c>
      <c r="C401" s="1">
        <v>45309</v>
      </c>
      <c r="D401" s="1">
        <v>45310</v>
      </c>
      <c r="E401" t="s">
        <v>49</v>
      </c>
      <c r="F401" t="s">
        <v>2358</v>
      </c>
      <c r="G401" t="s">
        <v>187</v>
      </c>
      <c r="H401" t="s">
        <v>25</v>
      </c>
      <c r="I401" t="s">
        <v>26</v>
      </c>
      <c r="J401" t="s">
        <v>72</v>
      </c>
      <c r="K401" t="s">
        <v>72</v>
      </c>
      <c r="L401">
        <v>29773</v>
      </c>
      <c r="M401" t="s">
        <v>73</v>
      </c>
      <c r="N401" t="s">
        <v>1386</v>
      </c>
      <c r="O401" t="s">
        <v>43</v>
      </c>
      <c r="P401" t="s">
        <v>44</v>
      </c>
      <c r="Q401" t="s">
        <v>1420</v>
      </c>
      <c r="R401" t="s">
        <v>2359</v>
      </c>
      <c r="S401">
        <v>5</v>
      </c>
      <c r="T401" s="2">
        <v>0.05</v>
      </c>
      <c r="U401" t="s">
        <v>2104</v>
      </c>
      <c r="V401" t="str">
        <f>CHOOSE(MOD(SalesData[[#This Row],[Row ID]]-1,8)+1,"Aarav Sharma","Ananya Singh","Rohan Verma","Priya Gupta","Arjun Mehta","Neha Kapoor","Rahul Joshi","Sneha Patel")</f>
        <v>Sneha Patel</v>
      </c>
      <c r="W40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01" s="8">
        <f>IFERROR(VALUE(SUBSTITUTE(SUBSTITUTE(SalesData[[#This Row],[Profit]],"$",""),",",""))/VALUE(SUBSTITUTE(SUBSTITUTE(SalesData[[#This Row],[Sales]],"$",""),",","")),0)</f>
        <v>0.12748112943807657</v>
      </c>
      <c r="Y401" s="6">
        <f>IFERROR(VALUE(SUBSTITUTE(SUBSTITUTE(SalesData[[#This Row],[Sales]],"$",""),",",""))/SalesData[[#This Row],[Quantity]],0)</f>
        <v>7.1540000000000008</v>
      </c>
      <c r="Z401">
        <f>YEAR(SalesData[[#This Row],[Order Date]])</f>
        <v>2024</v>
      </c>
      <c r="AA401" t="str">
        <f>TEXT(SalesData[[#This Row],[Order Date]],"mmm")</f>
        <v>Jan</v>
      </c>
      <c r="AB40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02" spans="1:28">
      <c r="A402">
        <v>272</v>
      </c>
      <c r="B402" t="s">
        <v>2360</v>
      </c>
      <c r="C402" s="1">
        <v>45313</v>
      </c>
      <c r="D402" s="1">
        <v>45315</v>
      </c>
      <c r="E402" t="s">
        <v>36</v>
      </c>
      <c r="F402" t="s">
        <v>2361</v>
      </c>
      <c r="G402" t="s">
        <v>267</v>
      </c>
      <c r="H402" t="s">
        <v>25</v>
      </c>
      <c r="I402" t="s">
        <v>26</v>
      </c>
      <c r="J402" t="s">
        <v>96</v>
      </c>
      <c r="K402" t="s">
        <v>96</v>
      </c>
      <c r="L402">
        <v>58994</v>
      </c>
      <c r="M402" t="s">
        <v>28</v>
      </c>
      <c r="N402" t="s">
        <v>2353</v>
      </c>
      <c r="O402" t="s">
        <v>43</v>
      </c>
      <c r="P402" t="s">
        <v>189</v>
      </c>
      <c r="Q402" t="s">
        <v>190</v>
      </c>
      <c r="R402" t="s">
        <v>2362</v>
      </c>
      <c r="S402">
        <v>3</v>
      </c>
      <c r="T402" s="2">
        <v>0.1</v>
      </c>
      <c r="U402" t="s">
        <v>2363</v>
      </c>
      <c r="V402" t="str">
        <f>CHOOSE(MOD(SalesData[[#This Row],[Row ID]]-1,8)+1,"Aarav Sharma","Ananya Singh","Rohan Verma","Priya Gupta","Arjun Mehta","Neha Kapoor","Rahul Joshi","Sneha Patel")</f>
        <v>Sneha Patel</v>
      </c>
      <c r="W40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02" s="8">
        <f>IFERROR(VALUE(SUBSTITUTE(SUBSTITUTE(SalesData[[#This Row],[Profit]],"$",""),",",""))/VALUE(SUBSTITUTE(SUBSTITUTE(SalesData[[#This Row],[Sales]],"$",""),",","")),0)</f>
        <v>0.21073585941790224</v>
      </c>
      <c r="Y402" s="6">
        <f>IFERROR(VALUE(SUBSTITUTE(SUBSTITUTE(SalesData[[#This Row],[Sales]],"$",""),",",""))/SalesData[[#This Row],[Quantity]],0)</f>
        <v>24.28</v>
      </c>
      <c r="Z402">
        <f>YEAR(SalesData[[#This Row],[Order Date]])</f>
        <v>2024</v>
      </c>
      <c r="AA402" t="str">
        <f>TEXT(SalesData[[#This Row],[Order Date]],"mmm")</f>
        <v>Jan</v>
      </c>
      <c r="AB40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03" spans="1:28">
      <c r="A403">
        <v>528</v>
      </c>
      <c r="B403" t="s">
        <v>2364</v>
      </c>
      <c r="C403" s="1">
        <v>45314</v>
      </c>
      <c r="D403" s="1">
        <v>45317</v>
      </c>
      <c r="E403" t="s">
        <v>36</v>
      </c>
      <c r="F403" t="s">
        <v>2365</v>
      </c>
      <c r="G403" t="s">
        <v>315</v>
      </c>
      <c r="H403" t="s">
        <v>39</v>
      </c>
      <c r="I403" t="s">
        <v>26</v>
      </c>
      <c r="J403" t="s">
        <v>96</v>
      </c>
      <c r="K403" t="s">
        <v>96</v>
      </c>
      <c r="L403">
        <v>26702</v>
      </c>
      <c r="M403" t="s">
        <v>28</v>
      </c>
      <c r="N403" t="s">
        <v>2366</v>
      </c>
      <c r="O403" t="s">
        <v>43</v>
      </c>
      <c r="P403" t="s">
        <v>44</v>
      </c>
      <c r="Q403" t="s">
        <v>90</v>
      </c>
      <c r="R403" t="s">
        <v>2367</v>
      </c>
      <c r="S403">
        <v>5</v>
      </c>
      <c r="T403" s="2">
        <v>0.3</v>
      </c>
      <c r="U403" t="s">
        <v>2368</v>
      </c>
      <c r="V403" t="str">
        <f>CHOOSE(MOD(SalesData[[#This Row],[Row ID]]-1,8)+1,"Aarav Sharma","Ananya Singh","Rohan Verma","Priya Gupta","Arjun Mehta","Neha Kapoor","Rahul Joshi","Sneha Patel")</f>
        <v>Sneha Patel</v>
      </c>
      <c r="W40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03" s="8">
        <f>IFERROR(VALUE(SUBSTITUTE(SUBSTITUTE(SalesData[[#This Row],[Profit]],"$",""),",",""))/VALUE(SUBSTITUTE(SUBSTITUTE(SalesData[[#This Row],[Sales]],"$",""),",","")),0)</f>
        <v>-1.6245487364620941E-2</v>
      </c>
      <c r="Y403" s="6">
        <f>IFERROR(VALUE(SUBSTITUTE(SUBSTITUTE(SalesData[[#This Row],[Sales]],"$",""),",",""))/SalesData[[#This Row],[Quantity]],0)</f>
        <v>19.943999999999999</v>
      </c>
      <c r="Z403">
        <f>YEAR(SalesData[[#This Row],[Order Date]])</f>
        <v>2024</v>
      </c>
      <c r="AA403" t="str">
        <f>TEXT(SalesData[[#This Row],[Order Date]],"mmm")</f>
        <v>Jan</v>
      </c>
      <c r="AB40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04" spans="1:28">
      <c r="A404">
        <v>339</v>
      </c>
      <c r="B404" t="s">
        <v>2369</v>
      </c>
      <c r="C404" s="1">
        <v>45315</v>
      </c>
      <c r="D404" s="1">
        <v>45318</v>
      </c>
      <c r="E404" t="s">
        <v>22</v>
      </c>
      <c r="F404" t="s">
        <v>2370</v>
      </c>
      <c r="G404" t="s">
        <v>959</v>
      </c>
      <c r="H404" t="s">
        <v>25</v>
      </c>
      <c r="I404" t="s">
        <v>26</v>
      </c>
      <c r="J404" t="s">
        <v>229</v>
      </c>
      <c r="K404" t="s">
        <v>229</v>
      </c>
      <c r="L404">
        <v>78593</v>
      </c>
      <c r="M404" t="s">
        <v>73</v>
      </c>
      <c r="N404" t="s">
        <v>2371</v>
      </c>
      <c r="O404" t="s">
        <v>30</v>
      </c>
      <c r="P404" t="s">
        <v>31</v>
      </c>
      <c r="Q404" t="s">
        <v>582</v>
      </c>
      <c r="R404" t="s">
        <v>2372</v>
      </c>
      <c r="S404">
        <v>5</v>
      </c>
      <c r="T404" s="2">
        <v>0</v>
      </c>
      <c r="U404" t="s">
        <v>2373</v>
      </c>
      <c r="V404" t="str">
        <f>CHOOSE(MOD(SalesData[[#This Row],[Row ID]]-1,8)+1,"Aarav Sharma","Ananya Singh","Rohan Verma","Priya Gupta","Arjun Mehta","Neha Kapoor","Rahul Joshi","Sneha Patel")</f>
        <v>Rohan Verma</v>
      </c>
      <c r="W40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04" s="8">
        <f>IFERROR(VALUE(SUBSTITUTE(SUBSTITUTE(SalesData[[#This Row],[Profit]],"$",""),",",""))/VALUE(SUBSTITUTE(SUBSTITUTE(SalesData[[#This Row],[Sales]],"$",""),",","")),0)</f>
        <v>0.16036906854130051</v>
      </c>
      <c r="Y404" s="6">
        <f>IFERROR(VALUE(SUBSTITUTE(SUBSTITUTE(SalesData[[#This Row],[Sales]],"$",""),",",""))/SalesData[[#This Row],[Quantity]],0)</f>
        <v>4.5520000000000005</v>
      </c>
      <c r="Z404">
        <f>YEAR(SalesData[[#This Row],[Order Date]])</f>
        <v>2024</v>
      </c>
      <c r="AA404" t="str">
        <f>TEXT(SalesData[[#This Row],[Order Date]],"mmm")</f>
        <v>Jan</v>
      </c>
      <c r="AB40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05" spans="1:28">
      <c r="A405">
        <v>391</v>
      </c>
      <c r="B405" t="s">
        <v>2374</v>
      </c>
      <c r="C405" s="1">
        <v>45318</v>
      </c>
      <c r="D405" s="1">
        <v>45320</v>
      </c>
      <c r="E405" t="s">
        <v>36</v>
      </c>
      <c r="F405" t="s">
        <v>2375</v>
      </c>
      <c r="G405" t="s">
        <v>418</v>
      </c>
      <c r="H405" t="s">
        <v>60</v>
      </c>
      <c r="I405" t="s">
        <v>26</v>
      </c>
      <c r="J405" t="s">
        <v>173</v>
      </c>
      <c r="K405" t="s">
        <v>173</v>
      </c>
      <c r="L405">
        <v>17910</v>
      </c>
      <c r="M405" t="s">
        <v>73</v>
      </c>
      <c r="N405" t="s">
        <v>2376</v>
      </c>
      <c r="O405" t="s">
        <v>30</v>
      </c>
      <c r="P405" t="s">
        <v>31</v>
      </c>
      <c r="Q405" t="s">
        <v>726</v>
      </c>
      <c r="R405" t="s">
        <v>2377</v>
      </c>
      <c r="S405">
        <v>5</v>
      </c>
      <c r="T405" s="2">
        <v>0.1</v>
      </c>
      <c r="U405" t="s">
        <v>2378</v>
      </c>
      <c r="V405" t="str">
        <f>CHOOSE(MOD(SalesData[[#This Row],[Row ID]]-1,8)+1,"Aarav Sharma","Ananya Singh","Rohan Verma","Priya Gupta","Arjun Mehta","Neha Kapoor","Rahul Joshi","Sneha Patel")</f>
        <v>Rahul Joshi</v>
      </c>
      <c r="W40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05" s="8">
        <f>IFERROR(VALUE(SUBSTITUTE(SUBSTITUTE(SalesData[[#This Row],[Profit]],"$",""),",",""))/VALUE(SUBSTITUTE(SUBSTITUTE(SalesData[[#This Row],[Sales]],"$",""),",","")),0)</f>
        <v>0.10889606283489199</v>
      </c>
      <c r="Y405" s="6">
        <f>IFERROR(VALUE(SUBSTITUTE(SUBSTITUTE(SalesData[[#This Row],[Sales]],"$",""),",",""))/SalesData[[#This Row],[Quantity]],0)</f>
        <v>60.094000000000008</v>
      </c>
      <c r="Z405">
        <f>YEAR(SalesData[[#This Row],[Order Date]])</f>
        <v>2024</v>
      </c>
      <c r="AA405" t="str">
        <f>TEXT(SalesData[[#This Row],[Order Date]],"mmm")</f>
        <v>Jan</v>
      </c>
      <c r="AB40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06" spans="1:28">
      <c r="A406">
        <v>493</v>
      </c>
      <c r="B406" t="s">
        <v>2379</v>
      </c>
      <c r="C406" s="1">
        <v>45318</v>
      </c>
      <c r="D406" s="1">
        <v>45323</v>
      </c>
      <c r="E406" t="s">
        <v>36</v>
      </c>
      <c r="F406" t="s">
        <v>2380</v>
      </c>
      <c r="G406" t="s">
        <v>554</v>
      </c>
      <c r="H406" t="s">
        <v>39</v>
      </c>
      <c r="I406" t="s">
        <v>26</v>
      </c>
      <c r="J406" t="s">
        <v>237</v>
      </c>
      <c r="K406" t="s">
        <v>237</v>
      </c>
      <c r="L406">
        <v>16212</v>
      </c>
      <c r="M406" t="s">
        <v>41</v>
      </c>
      <c r="N406" t="s">
        <v>2381</v>
      </c>
      <c r="O406" t="s">
        <v>64</v>
      </c>
      <c r="P406" t="s">
        <v>405</v>
      </c>
      <c r="Q406" t="s">
        <v>2382</v>
      </c>
      <c r="R406" t="s">
        <v>2383</v>
      </c>
      <c r="S406">
        <v>7</v>
      </c>
      <c r="T406" s="2">
        <v>0.2</v>
      </c>
      <c r="U406" t="s">
        <v>2384</v>
      </c>
      <c r="V406" t="str">
        <f>CHOOSE(MOD(SalesData[[#This Row],[Row ID]]-1,8)+1,"Aarav Sharma","Ananya Singh","Rohan Verma","Priya Gupta","Arjun Mehta","Neha Kapoor","Rahul Joshi","Sneha Patel")</f>
        <v>Arjun Mehta</v>
      </c>
      <c r="W40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06" s="8">
        <f>IFERROR(VALUE(SUBSTITUTE(SUBSTITUTE(SalesData[[#This Row],[Profit]],"$",""),",",""))/VALUE(SUBSTITUTE(SUBSTITUTE(SalesData[[#This Row],[Sales]],"$",""),",","")),0)</f>
        <v>0.19742001477524579</v>
      </c>
      <c r="Y406" s="6">
        <f>IFERROR(VALUE(SUBSTITUTE(SUBSTITUTE(SalesData[[#This Row],[Sales]],"$",""),",",""))/SalesData[[#This Row],[Quantity]],0)</f>
        <v>25.138571428571428</v>
      </c>
      <c r="Z406">
        <f>YEAR(SalesData[[#This Row],[Order Date]])</f>
        <v>2024</v>
      </c>
      <c r="AA406" t="str">
        <f>TEXT(SalesData[[#This Row],[Order Date]],"mmm")</f>
        <v>Jan</v>
      </c>
      <c r="AB40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07" spans="1:28">
      <c r="A407">
        <v>508</v>
      </c>
      <c r="B407" t="s">
        <v>2385</v>
      </c>
      <c r="C407" s="1">
        <v>45320</v>
      </c>
      <c r="D407" s="1">
        <v>45321</v>
      </c>
      <c r="E407" t="s">
        <v>382</v>
      </c>
      <c r="F407" t="s">
        <v>2386</v>
      </c>
      <c r="G407" t="s">
        <v>775</v>
      </c>
      <c r="H407" t="s">
        <v>60</v>
      </c>
      <c r="I407" t="s">
        <v>26</v>
      </c>
      <c r="J407" t="s">
        <v>301</v>
      </c>
      <c r="K407" t="s">
        <v>301</v>
      </c>
      <c r="L407">
        <v>40846</v>
      </c>
      <c r="M407" t="s">
        <v>73</v>
      </c>
      <c r="N407" t="s">
        <v>2387</v>
      </c>
      <c r="O407" t="s">
        <v>43</v>
      </c>
      <c r="P407" t="s">
        <v>83</v>
      </c>
      <c r="Q407" t="s">
        <v>427</v>
      </c>
      <c r="R407" t="s">
        <v>2388</v>
      </c>
      <c r="S407">
        <v>3</v>
      </c>
      <c r="T407" s="2">
        <v>0.3</v>
      </c>
      <c r="U407" t="s">
        <v>2389</v>
      </c>
      <c r="V407" t="str">
        <f>CHOOSE(MOD(SalesData[[#This Row],[Row ID]]-1,8)+1,"Aarav Sharma","Ananya Singh","Rohan Verma","Priya Gupta","Arjun Mehta","Neha Kapoor","Rahul Joshi","Sneha Patel")</f>
        <v>Priya Gupta</v>
      </c>
      <c r="W40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07" s="8">
        <f>IFERROR(VALUE(SUBSTITUTE(SUBSTITUTE(SalesData[[#This Row],[Profit]],"$",""),",",""))/VALUE(SUBSTITUTE(SUBSTITUTE(SalesData[[#This Row],[Sales]],"$",""),",","")),0)</f>
        <v>5.2643123491993848E-3</v>
      </c>
      <c r="Y407" s="6">
        <f>IFERROR(VALUE(SUBSTITUTE(SUBSTITUTE(SalesData[[#This Row],[Sales]],"$",""),",",""))/SalesData[[#This Row],[Quantity]],0)</f>
        <v>30.393333333333334</v>
      </c>
      <c r="Z407">
        <f>YEAR(SalesData[[#This Row],[Order Date]])</f>
        <v>2024</v>
      </c>
      <c r="AA407" t="str">
        <f>TEXT(SalesData[[#This Row],[Order Date]],"mmm")</f>
        <v>Jan</v>
      </c>
      <c r="AB40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08" spans="1:28">
      <c r="A408">
        <v>307</v>
      </c>
      <c r="B408" t="s">
        <v>2390</v>
      </c>
      <c r="C408" s="1">
        <v>45323</v>
      </c>
      <c r="D408" s="1">
        <v>45326</v>
      </c>
      <c r="E408" t="s">
        <v>36</v>
      </c>
      <c r="F408" t="s">
        <v>2391</v>
      </c>
      <c r="G408" t="s">
        <v>939</v>
      </c>
      <c r="H408" t="s">
        <v>25</v>
      </c>
      <c r="I408" t="s">
        <v>26</v>
      </c>
      <c r="J408" t="s">
        <v>204</v>
      </c>
      <c r="K408" t="s">
        <v>204</v>
      </c>
      <c r="L408">
        <v>72894</v>
      </c>
      <c r="M408" t="s">
        <v>28</v>
      </c>
      <c r="N408" t="s">
        <v>1515</v>
      </c>
      <c r="O408" t="s">
        <v>64</v>
      </c>
      <c r="P408" t="s">
        <v>105</v>
      </c>
      <c r="Q408" t="s">
        <v>2392</v>
      </c>
      <c r="R408" t="s">
        <v>2393</v>
      </c>
      <c r="S408">
        <v>3</v>
      </c>
      <c r="T408" s="2">
        <v>0.1</v>
      </c>
      <c r="U408" t="s">
        <v>2394</v>
      </c>
      <c r="V408" t="str">
        <f>CHOOSE(MOD(SalesData[[#This Row],[Row ID]]-1,8)+1,"Aarav Sharma","Ananya Singh","Rohan Verma","Priya Gupta","Arjun Mehta","Neha Kapoor","Rahul Joshi","Sneha Patel")</f>
        <v>Rohan Verma</v>
      </c>
      <c r="W40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08" s="8">
        <f>IFERROR(VALUE(SUBSTITUTE(SUBSTITUTE(SalesData[[#This Row],[Profit]],"$",""),",",""))/VALUE(SUBSTITUTE(SUBSTITUTE(SalesData[[#This Row],[Sales]],"$",""),",","")),0)</f>
        <v>0.19079176839902337</v>
      </c>
      <c r="Y408" s="6">
        <f>IFERROR(VALUE(SUBSTITUTE(SUBSTITUTE(SalesData[[#This Row],[Sales]],"$",""),",",""))/SalesData[[#This Row],[Quantity]],0)</f>
        <v>86.009999999999991</v>
      </c>
      <c r="Z408">
        <f>YEAR(SalesData[[#This Row],[Order Date]])</f>
        <v>2024</v>
      </c>
      <c r="AA408" t="str">
        <f>TEXT(SalesData[[#This Row],[Order Date]],"mmm")</f>
        <v>Feb</v>
      </c>
      <c r="AB40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09" spans="1:28">
      <c r="A409">
        <v>126</v>
      </c>
      <c r="B409" t="s">
        <v>2395</v>
      </c>
      <c r="C409" s="1">
        <v>45324</v>
      </c>
      <c r="D409" s="1">
        <v>45328</v>
      </c>
      <c r="E409" t="s">
        <v>36</v>
      </c>
      <c r="F409" t="s">
        <v>2396</v>
      </c>
      <c r="G409" t="s">
        <v>982</v>
      </c>
      <c r="H409" t="s">
        <v>25</v>
      </c>
      <c r="I409" t="s">
        <v>26</v>
      </c>
      <c r="J409" t="s">
        <v>40</v>
      </c>
      <c r="K409" t="s">
        <v>40</v>
      </c>
      <c r="L409">
        <v>24472</v>
      </c>
      <c r="M409" t="s">
        <v>41</v>
      </c>
      <c r="N409" t="s">
        <v>2397</v>
      </c>
      <c r="O409" t="s">
        <v>64</v>
      </c>
      <c r="P409" t="s">
        <v>105</v>
      </c>
      <c r="Q409" t="s">
        <v>1992</v>
      </c>
      <c r="R409" t="s">
        <v>2398</v>
      </c>
      <c r="S409">
        <v>7</v>
      </c>
      <c r="T409" s="2">
        <v>0.3</v>
      </c>
      <c r="U409" t="s">
        <v>2399</v>
      </c>
      <c r="V409" t="str">
        <f>CHOOSE(MOD(SalesData[[#This Row],[Row ID]]-1,8)+1,"Aarav Sharma","Ananya Singh","Rohan Verma","Priya Gupta","Arjun Mehta","Neha Kapoor","Rahul Joshi","Sneha Patel")</f>
        <v>Neha Kapoor</v>
      </c>
      <c r="W40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09" s="8">
        <f>IFERROR(VALUE(SUBSTITUTE(SUBSTITUTE(SalesData[[#This Row],[Profit]],"$",""),",",""))/VALUE(SUBSTITUTE(SUBSTITUTE(SalesData[[#This Row],[Sales]],"$",""),",","")),0)</f>
        <v>2.9271298721306425E-2</v>
      </c>
      <c r="Y409" s="6">
        <f>IFERROR(VALUE(SUBSTITUTE(SUBSTITUTE(SalesData[[#This Row],[Sales]],"$",""),",",""))/SalesData[[#This Row],[Quantity]],0)</f>
        <v>9.2728571428571431</v>
      </c>
      <c r="Z409">
        <f>YEAR(SalesData[[#This Row],[Order Date]])</f>
        <v>2024</v>
      </c>
      <c r="AA409" t="str">
        <f>TEXT(SalesData[[#This Row],[Order Date]],"mmm")</f>
        <v>Feb</v>
      </c>
      <c r="AB40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10" spans="1:28">
      <c r="A410">
        <v>111</v>
      </c>
      <c r="B410" t="s">
        <v>2400</v>
      </c>
      <c r="C410" s="1">
        <v>45325</v>
      </c>
      <c r="D410" s="1">
        <v>45328</v>
      </c>
      <c r="E410" t="s">
        <v>36</v>
      </c>
      <c r="F410" t="s">
        <v>2401</v>
      </c>
      <c r="G410" t="s">
        <v>1253</v>
      </c>
      <c r="H410" t="s">
        <v>25</v>
      </c>
      <c r="I410" t="s">
        <v>26</v>
      </c>
      <c r="J410" t="s">
        <v>212</v>
      </c>
      <c r="K410" t="s">
        <v>212</v>
      </c>
      <c r="L410">
        <v>61196</v>
      </c>
      <c r="M410" t="s">
        <v>28</v>
      </c>
      <c r="N410" t="s">
        <v>1160</v>
      </c>
      <c r="O410" t="s">
        <v>64</v>
      </c>
      <c r="P410" t="s">
        <v>65</v>
      </c>
      <c r="Q410" t="s">
        <v>714</v>
      </c>
      <c r="R410" t="s">
        <v>2402</v>
      </c>
      <c r="S410">
        <v>7</v>
      </c>
      <c r="T410" s="2">
        <v>0.3</v>
      </c>
      <c r="U410" t="s">
        <v>2403</v>
      </c>
      <c r="V410" t="str">
        <f>CHOOSE(MOD(SalesData[[#This Row],[Row ID]]-1,8)+1,"Aarav Sharma","Ananya Singh","Rohan Verma","Priya Gupta","Arjun Mehta","Neha Kapoor","Rahul Joshi","Sneha Patel")</f>
        <v>Rahul Joshi</v>
      </c>
      <c r="W41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10" s="8">
        <f>IFERROR(VALUE(SUBSTITUTE(SUBSTITUTE(SalesData[[#This Row],[Profit]],"$",""),",",""))/VALUE(SUBSTITUTE(SUBSTITUTE(SalesData[[#This Row],[Sales]],"$",""),",","")),0)</f>
        <v>0.14297632034909838</v>
      </c>
      <c r="Y410" s="6">
        <f>IFERROR(VALUE(SUBSTITUTE(SUBSTITUTE(SalesData[[#This Row],[Sales]],"$",""),",",""))/SalesData[[#This Row],[Quantity]],0)</f>
        <v>44.522857142857148</v>
      </c>
      <c r="Z410">
        <f>YEAR(SalesData[[#This Row],[Order Date]])</f>
        <v>2024</v>
      </c>
      <c r="AA410" t="str">
        <f>TEXT(SalesData[[#This Row],[Order Date]],"mmm")</f>
        <v>Feb</v>
      </c>
      <c r="AB41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11" spans="1:28">
      <c r="A411">
        <v>303</v>
      </c>
      <c r="B411" t="s">
        <v>2404</v>
      </c>
      <c r="C411" s="1">
        <v>45326</v>
      </c>
      <c r="D411" s="1">
        <v>45329</v>
      </c>
      <c r="E411" t="s">
        <v>36</v>
      </c>
      <c r="F411" t="s">
        <v>2405</v>
      </c>
      <c r="G411" t="s">
        <v>293</v>
      </c>
      <c r="H411" t="s">
        <v>25</v>
      </c>
      <c r="I411" t="s">
        <v>26</v>
      </c>
      <c r="J411" t="s">
        <v>61</v>
      </c>
      <c r="K411" t="s">
        <v>61</v>
      </c>
      <c r="L411">
        <v>29065</v>
      </c>
      <c r="M411" t="s">
        <v>62</v>
      </c>
      <c r="N411" t="s">
        <v>2406</v>
      </c>
      <c r="O411" t="s">
        <v>64</v>
      </c>
      <c r="P411" t="s">
        <v>136</v>
      </c>
      <c r="Q411" t="s">
        <v>2222</v>
      </c>
      <c r="R411" t="s">
        <v>2407</v>
      </c>
      <c r="S411">
        <v>5</v>
      </c>
      <c r="T411" s="2">
        <v>0.3</v>
      </c>
      <c r="U411" t="s">
        <v>2408</v>
      </c>
      <c r="V411" t="str">
        <f>CHOOSE(MOD(SalesData[[#This Row],[Row ID]]-1,8)+1,"Aarav Sharma","Ananya Singh","Rohan Verma","Priya Gupta","Arjun Mehta","Neha Kapoor","Rahul Joshi","Sneha Patel")</f>
        <v>Rahul Joshi</v>
      </c>
      <c r="W41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11" s="8">
        <f>IFERROR(VALUE(SUBSTITUTE(SUBSTITUTE(SalesData[[#This Row],[Profit]],"$",""),",",""))/VALUE(SUBSTITUTE(SUBSTITUTE(SalesData[[#This Row],[Sales]],"$",""),",","")),0)</f>
        <v>0.13849246231155779</v>
      </c>
      <c r="Y411" s="6">
        <f>IFERROR(VALUE(SUBSTITUTE(SUBSTITUTE(SalesData[[#This Row],[Sales]],"$",""),",",""))/SalesData[[#This Row],[Quantity]],0)</f>
        <v>9.9499999999999993</v>
      </c>
      <c r="Z411">
        <f>YEAR(SalesData[[#This Row],[Order Date]])</f>
        <v>2024</v>
      </c>
      <c r="AA411" t="str">
        <f>TEXT(SalesData[[#This Row],[Order Date]],"mmm")</f>
        <v>Feb</v>
      </c>
      <c r="AB41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12" spans="1:28">
      <c r="A412">
        <v>476</v>
      </c>
      <c r="B412" t="s">
        <v>2409</v>
      </c>
      <c r="C412" s="1">
        <v>45327</v>
      </c>
      <c r="D412" s="1">
        <v>45330</v>
      </c>
      <c r="E412" t="s">
        <v>36</v>
      </c>
      <c r="F412" t="s">
        <v>2410</v>
      </c>
      <c r="G412" t="s">
        <v>525</v>
      </c>
      <c r="H412" t="s">
        <v>39</v>
      </c>
      <c r="I412" t="s">
        <v>26</v>
      </c>
      <c r="J412" t="s">
        <v>27</v>
      </c>
      <c r="K412" t="s">
        <v>27</v>
      </c>
      <c r="L412">
        <v>89409</v>
      </c>
      <c r="M412" t="s">
        <v>28</v>
      </c>
      <c r="N412" t="s">
        <v>2411</v>
      </c>
      <c r="O412" t="s">
        <v>30</v>
      </c>
      <c r="P412" t="s">
        <v>120</v>
      </c>
      <c r="Q412" t="s">
        <v>576</v>
      </c>
      <c r="R412" t="s">
        <v>2412</v>
      </c>
      <c r="S412">
        <v>2</v>
      </c>
      <c r="T412" s="2">
        <v>0.2</v>
      </c>
      <c r="U412" t="s">
        <v>2413</v>
      </c>
      <c r="V412" t="str">
        <f>CHOOSE(MOD(SalesData[[#This Row],[Row ID]]-1,8)+1,"Aarav Sharma","Ananya Singh","Rohan Verma","Priya Gupta","Arjun Mehta","Neha Kapoor","Rahul Joshi","Sneha Patel")</f>
        <v>Priya Gupta</v>
      </c>
      <c r="W41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12" s="8">
        <f>IFERROR(VALUE(SUBSTITUTE(SUBSTITUTE(SalesData[[#This Row],[Profit]],"$",""),",",""))/VALUE(SUBSTITUTE(SUBSTITUTE(SalesData[[#This Row],[Sales]],"$",""),",","")),0)</f>
        <v>3.1765070030178755E-2</v>
      </c>
      <c r="Y412" s="6">
        <f>IFERROR(VALUE(SUBSTITUTE(SUBSTITUTE(SalesData[[#This Row],[Sales]],"$",""),",",""))/SalesData[[#This Row],[Quantity]],0)</f>
        <v>129.22999999999999</v>
      </c>
      <c r="Z412">
        <f>YEAR(SalesData[[#This Row],[Order Date]])</f>
        <v>2024</v>
      </c>
      <c r="AA412" t="str">
        <f>TEXT(SalesData[[#This Row],[Order Date]],"mmm")</f>
        <v>Feb</v>
      </c>
      <c r="AB41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13" spans="1:28">
      <c r="A413">
        <v>335</v>
      </c>
      <c r="B413" t="s">
        <v>2414</v>
      </c>
      <c r="C413" s="1">
        <v>45329</v>
      </c>
      <c r="D413" s="1">
        <v>45335</v>
      </c>
      <c r="E413" t="s">
        <v>36</v>
      </c>
      <c r="F413" t="s">
        <v>2415</v>
      </c>
      <c r="G413" t="s">
        <v>2416</v>
      </c>
      <c r="H413" t="s">
        <v>25</v>
      </c>
      <c r="I413" t="s">
        <v>26</v>
      </c>
      <c r="J413" t="s">
        <v>260</v>
      </c>
      <c r="K413" t="s">
        <v>260</v>
      </c>
      <c r="L413">
        <v>52292</v>
      </c>
      <c r="M413" t="s">
        <v>41</v>
      </c>
      <c r="N413" t="s">
        <v>892</v>
      </c>
      <c r="O413" t="s">
        <v>64</v>
      </c>
      <c r="P413" t="s">
        <v>136</v>
      </c>
      <c r="Q413" t="s">
        <v>1189</v>
      </c>
      <c r="R413" t="s">
        <v>2417</v>
      </c>
      <c r="S413">
        <v>6</v>
      </c>
      <c r="T413" s="2">
        <v>0.5</v>
      </c>
      <c r="U413" t="s">
        <v>2418</v>
      </c>
      <c r="V413" t="str">
        <f>CHOOSE(MOD(SalesData[[#This Row],[Row ID]]-1,8)+1,"Aarav Sharma","Ananya Singh","Rohan Verma","Priya Gupta","Arjun Mehta","Neha Kapoor","Rahul Joshi","Sneha Patel")</f>
        <v>Rahul Joshi</v>
      </c>
      <c r="W41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13" s="8">
        <f>IFERROR(VALUE(SUBSTITUTE(SUBSTITUTE(SalesData[[#This Row],[Profit]],"$",""),",",""))/VALUE(SUBSTITUTE(SUBSTITUTE(SalesData[[#This Row],[Sales]],"$",""),",","")),0)</f>
        <v>-5.9203109815354718E-2</v>
      </c>
      <c r="Y413" s="6">
        <f>IFERROR(VALUE(SUBSTITUTE(SUBSTITUTE(SalesData[[#This Row],[Sales]],"$",""),",",""))/SalesData[[#This Row],[Quantity]],0)</f>
        <v>42.875</v>
      </c>
      <c r="Z413">
        <f>YEAR(SalesData[[#This Row],[Order Date]])</f>
        <v>2024</v>
      </c>
      <c r="AA413" t="str">
        <f>TEXT(SalesData[[#This Row],[Order Date]],"mmm")</f>
        <v>Feb</v>
      </c>
      <c r="AB41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14" spans="1:28">
      <c r="A414">
        <v>118</v>
      </c>
      <c r="B414" t="s">
        <v>2419</v>
      </c>
      <c r="C414" s="1">
        <v>45331</v>
      </c>
      <c r="D414" s="1">
        <v>45334</v>
      </c>
      <c r="E414" t="s">
        <v>49</v>
      </c>
      <c r="F414" t="s">
        <v>2420</v>
      </c>
      <c r="G414" t="s">
        <v>1063</v>
      </c>
      <c r="H414" t="s">
        <v>39</v>
      </c>
      <c r="I414" t="s">
        <v>26</v>
      </c>
      <c r="J414" t="s">
        <v>72</v>
      </c>
      <c r="K414" t="s">
        <v>72</v>
      </c>
      <c r="L414">
        <v>87811</v>
      </c>
      <c r="M414" t="s">
        <v>73</v>
      </c>
      <c r="N414" t="s">
        <v>2421</v>
      </c>
      <c r="O414" t="s">
        <v>64</v>
      </c>
      <c r="P414" t="s">
        <v>105</v>
      </c>
      <c r="Q414" t="s">
        <v>1769</v>
      </c>
      <c r="R414" t="s">
        <v>2422</v>
      </c>
      <c r="S414">
        <v>6</v>
      </c>
      <c r="T414" s="2">
        <v>0.15</v>
      </c>
      <c r="U414" t="s">
        <v>2423</v>
      </c>
      <c r="V414" t="str">
        <f>CHOOSE(MOD(SalesData[[#This Row],[Row ID]]-1,8)+1,"Aarav Sharma","Ananya Singh","Rohan Verma","Priya Gupta","Arjun Mehta","Neha Kapoor","Rahul Joshi","Sneha Patel")</f>
        <v>Neha Kapoor</v>
      </c>
      <c r="W41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14" s="8">
        <f>IFERROR(VALUE(SUBSTITUTE(SUBSTITUTE(SalesData[[#This Row],[Profit]],"$",""),",",""))/VALUE(SUBSTITUTE(SUBSTITUTE(SalesData[[#This Row],[Sales]],"$",""),",","")),0)</f>
        <v>0.19153633854645813</v>
      </c>
      <c r="Y414" s="6">
        <f>IFERROR(VALUE(SUBSTITUTE(SUBSTITUTE(SalesData[[#This Row],[Sales]],"$",""),",",""))/SalesData[[#This Row],[Quantity]],0)</f>
        <v>18.116666666666667</v>
      </c>
      <c r="Z414">
        <f>YEAR(SalesData[[#This Row],[Order Date]])</f>
        <v>2024</v>
      </c>
      <c r="AA414" t="str">
        <f>TEXT(SalesData[[#This Row],[Order Date]],"mmm")</f>
        <v>Feb</v>
      </c>
      <c r="AB41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15" spans="1:28">
      <c r="A415">
        <v>161</v>
      </c>
      <c r="B415" t="s">
        <v>2424</v>
      </c>
      <c r="C415" s="1">
        <v>45333</v>
      </c>
      <c r="D415" s="1">
        <v>45337</v>
      </c>
      <c r="E415" t="s">
        <v>36</v>
      </c>
      <c r="F415" t="s">
        <v>2425</v>
      </c>
      <c r="G415" t="s">
        <v>1657</v>
      </c>
      <c r="H415" t="s">
        <v>25</v>
      </c>
      <c r="I415" t="s">
        <v>26</v>
      </c>
      <c r="J415" t="s">
        <v>52</v>
      </c>
      <c r="K415" t="s">
        <v>52</v>
      </c>
      <c r="L415">
        <v>15845</v>
      </c>
      <c r="M415" t="s">
        <v>41</v>
      </c>
      <c r="N415" t="s">
        <v>2426</v>
      </c>
      <c r="O415" t="s">
        <v>30</v>
      </c>
      <c r="P415" t="s">
        <v>31</v>
      </c>
      <c r="Q415" t="s">
        <v>1130</v>
      </c>
      <c r="R415" t="s">
        <v>2427</v>
      </c>
      <c r="S415">
        <v>3</v>
      </c>
      <c r="T415" s="2">
        <v>0.1</v>
      </c>
      <c r="U415" t="s">
        <v>2428</v>
      </c>
      <c r="V415" t="str">
        <f>CHOOSE(MOD(SalesData[[#This Row],[Row ID]]-1,8)+1,"Aarav Sharma","Ananya Singh","Rohan Verma","Priya Gupta","Arjun Mehta","Neha Kapoor","Rahul Joshi","Sneha Patel")</f>
        <v>Aarav Sharma</v>
      </c>
      <c r="W41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15" s="8">
        <f>IFERROR(VALUE(SUBSTITUTE(SUBSTITUTE(SalesData[[#This Row],[Profit]],"$",""),",",""))/VALUE(SUBSTITUTE(SUBSTITUTE(SalesData[[#This Row],[Sales]],"$",""),",","")),0)</f>
        <v>0.10983459626823107</v>
      </c>
      <c r="Y415" s="6">
        <f>IFERROR(VALUE(SUBSTITUTE(SUBSTITUTE(SalesData[[#This Row],[Sales]],"$",""),",",""))/SalesData[[#This Row],[Quantity]],0)</f>
        <v>122.73</v>
      </c>
      <c r="Z415">
        <f>YEAR(SalesData[[#This Row],[Order Date]])</f>
        <v>2024</v>
      </c>
      <c r="AA415" t="str">
        <f>TEXT(SalesData[[#This Row],[Order Date]],"mmm")</f>
        <v>Feb</v>
      </c>
      <c r="AB41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16" spans="1:28">
      <c r="A416">
        <v>104</v>
      </c>
      <c r="B416" t="s">
        <v>2429</v>
      </c>
      <c r="C416" s="1">
        <v>45337</v>
      </c>
      <c r="D416" s="1">
        <v>45342</v>
      </c>
      <c r="E416" t="s">
        <v>36</v>
      </c>
      <c r="F416" t="s">
        <v>2430</v>
      </c>
      <c r="G416" t="s">
        <v>1429</v>
      </c>
      <c r="H416" t="s">
        <v>25</v>
      </c>
      <c r="I416" t="s">
        <v>26</v>
      </c>
      <c r="J416" t="s">
        <v>81</v>
      </c>
      <c r="K416" t="s">
        <v>81</v>
      </c>
      <c r="L416">
        <v>10207</v>
      </c>
      <c r="M416" t="s">
        <v>62</v>
      </c>
      <c r="N416" t="s">
        <v>2431</v>
      </c>
      <c r="O416" t="s">
        <v>43</v>
      </c>
      <c r="P416" t="s">
        <v>83</v>
      </c>
      <c r="Q416" t="s">
        <v>2432</v>
      </c>
      <c r="R416" t="s">
        <v>2433</v>
      </c>
      <c r="S416">
        <v>6</v>
      </c>
      <c r="T416" s="2">
        <v>0.15</v>
      </c>
      <c r="U416" t="s">
        <v>1633</v>
      </c>
      <c r="V416" t="str">
        <f>CHOOSE(MOD(SalesData[[#This Row],[Row ID]]-1,8)+1,"Aarav Sharma","Ananya Singh","Rohan Verma","Priya Gupta","Arjun Mehta","Neha Kapoor","Rahul Joshi","Sneha Patel")</f>
        <v>Sneha Patel</v>
      </c>
      <c r="W41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16" s="8">
        <f>IFERROR(VALUE(SUBSTITUTE(SUBSTITUTE(SalesData[[#This Row],[Profit]],"$",""),",",""))/VALUE(SUBSTITUTE(SUBSTITUTE(SalesData[[#This Row],[Sales]],"$",""),",","")),0)</f>
        <v>0.14136880022166806</v>
      </c>
      <c r="Y416" s="6">
        <f>IFERROR(VALUE(SUBSTITUTE(SUBSTITUTE(SalesData[[#This Row],[Sales]],"$",""),",",""))/SalesData[[#This Row],[Quantity]],0)</f>
        <v>30.074999999999999</v>
      </c>
      <c r="Z416">
        <f>YEAR(SalesData[[#This Row],[Order Date]])</f>
        <v>2024</v>
      </c>
      <c r="AA416" t="str">
        <f>TEXT(SalesData[[#This Row],[Order Date]],"mmm")</f>
        <v>Feb</v>
      </c>
      <c r="AB41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17" spans="1:28">
      <c r="A417">
        <v>409</v>
      </c>
      <c r="B417" t="s">
        <v>2434</v>
      </c>
      <c r="C417" s="1">
        <v>45339</v>
      </c>
      <c r="D417" s="1">
        <v>45343</v>
      </c>
      <c r="E417" t="s">
        <v>36</v>
      </c>
      <c r="F417" t="s">
        <v>2435</v>
      </c>
      <c r="G417" t="s">
        <v>228</v>
      </c>
      <c r="H417" t="s">
        <v>25</v>
      </c>
      <c r="I417" t="s">
        <v>26</v>
      </c>
      <c r="J417" t="s">
        <v>245</v>
      </c>
      <c r="K417" t="s">
        <v>245</v>
      </c>
      <c r="L417">
        <v>79795</v>
      </c>
      <c r="M417" t="s">
        <v>41</v>
      </c>
      <c r="N417" t="s">
        <v>2436</v>
      </c>
      <c r="O417" t="s">
        <v>43</v>
      </c>
      <c r="P417" t="s">
        <v>214</v>
      </c>
      <c r="Q417" t="s">
        <v>2437</v>
      </c>
      <c r="R417" t="s">
        <v>2438</v>
      </c>
      <c r="S417">
        <v>2</v>
      </c>
      <c r="T417" s="2">
        <v>0</v>
      </c>
      <c r="U417" t="s">
        <v>2439</v>
      </c>
      <c r="V417" t="str">
        <f>CHOOSE(MOD(SalesData[[#This Row],[Row ID]]-1,8)+1,"Aarav Sharma","Ananya Singh","Rohan Verma","Priya Gupta","Arjun Mehta","Neha Kapoor","Rahul Joshi","Sneha Patel")</f>
        <v>Aarav Sharma</v>
      </c>
      <c r="W41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17" s="8">
        <f>IFERROR(VALUE(SUBSTITUTE(SUBSTITUTE(SalesData[[#This Row],[Profit]],"$",""),",",""))/VALUE(SUBSTITUTE(SUBSTITUTE(SalesData[[#This Row],[Sales]],"$",""),",","")),0)</f>
        <v>0.25562470081378647</v>
      </c>
      <c r="Y417" s="6">
        <f>IFERROR(VALUE(SUBSTITUTE(SUBSTITUTE(SalesData[[#This Row],[Sales]],"$",""),",",""))/SalesData[[#This Row],[Quantity]],0)</f>
        <v>10.445</v>
      </c>
      <c r="Z417">
        <f>YEAR(SalesData[[#This Row],[Order Date]])</f>
        <v>2024</v>
      </c>
      <c r="AA417" t="str">
        <f>TEXT(SalesData[[#This Row],[Order Date]],"mmm")</f>
        <v>Feb</v>
      </c>
      <c r="AB41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18" spans="1:28">
      <c r="A418">
        <v>53</v>
      </c>
      <c r="B418" t="s">
        <v>2440</v>
      </c>
      <c r="C418" s="1">
        <v>45340</v>
      </c>
      <c r="D418" s="1">
        <v>45343</v>
      </c>
      <c r="E418" t="s">
        <v>36</v>
      </c>
      <c r="F418" t="s">
        <v>2441</v>
      </c>
      <c r="G418" t="s">
        <v>322</v>
      </c>
      <c r="H418" t="s">
        <v>60</v>
      </c>
      <c r="I418" t="s">
        <v>26</v>
      </c>
      <c r="J418" t="s">
        <v>61</v>
      </c>
      <c r="K418" t="s">
        <v>61</v>
      </c>
      <c r="L418">
        <v>67545</v>
      </c>
      <c r="M418" t="s">
        <v>62</v>
      </c>
      <c r="N418" t="s">
        <v>2442</v>
      </c>
      <c r="O418" t="s">
        <v>30</v>
      </c>
      <c r="P418" t="s">
        <v>197</v>
      </c>
      <c r="Q418" t="s">
        <v>2443</v>
      </c>
      <c r="R418" t="s">
        <v>2444</v>
      </c>
      <c r="S418">
        <v>6</v>
      </c>
      <c r="T418" s="2">
        <v>0.15</v>
      </c>
      <c r="U418" t="s">
        <v>2445</v>
      </c>
      <c r="V418" t="str">
        <f>CHOOSE(MOD(SalesData[[#This Row],[Row ID]]-1,8)+1,"Aarav Sharma","Ananya Singh","Rohan Verma","Priya Gupta","Arjun Mehta","Neha Kapoor","Rahul Joshi","Sneha Patel")</f>
        <v>Arjun Mehta</v>
      </c>
      <c r="W41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18" s="8">
        <f>IFERROR(VALUE(SUBSTITUTE(SUBSTITUTE(SalesData[[#This Row],[Profit]],"$",""),",",""))/VALUE(SUBSTITUTE(SUBSTITUTE(SalesData[[#This Row],[Sales]],"$",""),",","")),0)</f>
        <v>-1.359680928208847E-2</v>
      </c>
      <c r="Y418" s="6">
        <f>IFERROR(VALUE(SUBSTITUTE(SUBSTITUTE(SalesData[[#This Row],[Sales]],"$",""),",",""))/SalesData[[#This Row],[Quantity]],0)</f>
        <v>9.1933333333333334</v>
      </c>
      <c r="Z418">
        <f>YEAR(SalesData[[#This Row],[Order Date]])</f>
        <v>2024</v>
      </c>
      <c r="AA418" t="str">
        <f>TEXT(SalesData[[#This Row],[Order Date]],"mmm")</f>
        <v>Feb</v>
      </c>
      <c r="AB41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19" spans="1:28">
      <c r="A419">
        <v>6</v>
      </c>
      <c r="B419" t="s">
        <v>2446</v>
      </c>
      <c r="C419" s="1">
        <v>45341</v>
      </c>
      <c r="D419" s="1">
        <v>45344</v>
      </c>
      <c r="E419" t="s">
        <v>49</v>
      </c>
      <c r="F419" t="s">
        <v>2447</v>
      </c>
      <c r="G419" t="s">
        <v>1087</v>
      </c>
      <c r="H419" t="s">
        <v>25</v>
      </c>
      <c r="I419" t="s">
        <v>26</v>
      </c>
      <c r="J419" t="s">
        <v>96</v>
      </c>
      <c r="K419" t="s">
        <v>96</v>
      </c>
      <c r="L419">
        <v>97897</v>
      </c>
      <c r="M419" t="s">
        <v>28</v>
      </c>
      <c r="N419" t="s">
        <v>2448</v>
      </c>
      <c r="O419" t="s">
        <v>43</v>
      </c>
      <c r="P419" t="s">
        <v>189</v>
      </c>
      <c r="Q419" t="s">
        <v>905</v>
      </c>
      <c r="R419" t="s">
        <v>2449</v>
      </c>
      <c r="S419">
        <v>5</v>
      </c>
      <c r="T419" s="2">
        <v>0.15</v>
      </c>
      <c r="U419" t="s">
        <v>2450</v>
      </c>
      <c r="V419" t="str">
        <f>CHOOSE(MOD(SalesData[[#This Row],[Row ID]]-1,8)+1,"Aarav Sharma","Ananya Singh","Rohan Verma","Priya Gupta","Arjun Mehta","Neha Kapoor","Rahul Joshi","Sneha Patel")</f>
        <v>Neha Kapoor</v>
      </c>
      <c r="W41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19" s="8">
        <f>IFERROR(VALUE(SUBSTITUTE(SUBSTITUTE(SalesData[[#This Row],[Profit]],"$",""),",",""))/VALUE(SUBSTITUTE(SUBSTITUTE(SalesData[[#This Row],[Sales]],"$",""),",","")),0)</f>
        <v>0.10085470085470087</v>
      </c>
      <c r="Y419" s="6">
        <f>IFERROR(VALUE(SUBSTITUTE(SUBSTITUTE(SalesData[[#This Row],[Sales]],"$",""),",",""))/SalesData[[#This Row],[Quantity]],0)</f>
        <v>25.74</v>
      </c>
      <c r="Z419">
        <f>YEAR(SalesData[[#This Row],[Order Date]])</f>
        <v>2024</v>
      </c>
      <c r="AA419" t="str">
        <f>TEXT(SalesData[[#This Row],[Order Date]],"mmm")</f>
        <v>Feb</v>
      </c>
      <c r="AB41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20" spans="1:28">
      <c r="A420">
        <v>75</v>
      </c>
      <c r="B420" t="s">
        <v>2451</v>
      </c>
      <c r="C420" s="1">
        <v>45342</v>
      </c>
      <c r="D420" s="1">
        <v>45346</v>
      </c>
      <c r="E420" t="s">
        <v>49</v>
      </c>
      <c r="F420" t="s">
        <v>2452</v>
      </c>
      <c r="G420" t="s">
        <v>492</v>
      </c>
      <c r="H420" t="s">
        <v>39</v>
      </c>
      <c r="I420" t="s">
        <v>26</v>
      </c>
      <c r="J420" t="s">
        <v>150</v>
      </c>
      <c r="K420" t="s">
        <v>150</v>
      </c>
      <c r="L420">
        <v>43062</v>
      </c>
      <c r="M420" t="s">
        <v>73</v>
      </c>
      <c r="N420" t="s">
        <v>2453</v>
      </c>
      <c r="O420" t="s">
        <v>64</v>
      </c>
      <c r="P420" t="s">
        <v>105</v>
      </c>
      <c r="Q420" t="s">
        <v>549</v>
      </c>
      <c r="R420" t="s">
        <v>2454</v>
      </c>
      <c r="S420">
        <v>7</v>
      </c>
      <c r="T420" s="2">
        <v>0</v>
      </c>
      <c r="U420" t="s">
        <v>1203</v>
      </c>
      <c r="V420" t="str">
        <f>CHOOSE(MOD(SalesData[[#This Row],[Row ID]]-1,8)+1,"Aarav Sharma","Ananya Singh","Rohan Verma","Priya Gupta","Arjun Mehta","Neha Kapoor","Rahul Joshi","Sneha Patel")</f>
        <v>Rohan Verma</v>
      </c>
      <c r="W42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20" s="8">
        <f>IFERROR(VALUE(SUBSTITUTE(SUBSTITUTE(SalesData[[#This Row],[Profit]],"$",""),",",""))/VALUE(SUBSTITUTE(SUBSTITUTE(SalesData[[#This Row],[Sales]],"$",""),",","")),0)</f>
        <v>0.25748759723157955</v>
      </c>
      <c r="Y420" s="6">
        <f>IFERROR(VALUE(SUBSTITUTE(SUBSTITUTE(SalesData[[#This Row],[Sales]],"$",""),",",""))/SalesData[[#This Row],[Quantity]],0)</f>
        <v>23.324285714285715</v>
      </c>
      <c r="Z420">
        <f>YEAR(SalesData[[#This Row],[Order Date]])</f>
        <v>2024</v>
      </c>
      <c r="AA420" t="str">
        <f>TEXT(SalesData[[#This Row],[Order Date]],"mmm")</f>
        <v>Feb</v>
      </c>
      <c r="AB42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21" spans="1:28">
      <c r="A421">
        <v>275</v>
      </c>
      <c r="B421" t="s">
        <v>2455</v>
      </c>
      <c r="C421" s="1">
        <v>45343</v>
      </c>
      <c r="D421" s="1">
        <v>45345</v>
      </c>
      <c r="E421" t="s">
        <v>36</v>
      </c>
      <c r="F421" t="s">
        <v>2456</v>
      </c>
      <c r="G421" t="s">
        <v>71</v>
      </c>
      <c r="H421" t="s">
        <v>25</v>
      </c>
      <c r="I421" t="s">
        <v>26</v>
      </c>
      <c r="J421" t="s">
        <v>363</v>
      </c>
      <c r="K421" t="s">
        <v>363</v>
      </c>
      <c r="L421">
        <v>21350</v>
      </c>
      <c r="M421" t="s">
        <v>62</v>
      </c>
      <c r="N421" t="s">
        <v>2366</v>
      </c>
      <c r="O421" t="s">
        <v>43</v>
      </c>
      <c r="P421" t="s">
        <v>166</v>
      </c>
      <c r="Q421" t="s">
        <v>2457</v>
      </c>
      <c r="R421" t="s">
        <v>2458</v>
      </c>
      <c r="S421">
        <v>6</v>
      </c>
      <c r="T421" s="2">
        <v>0.4</v>
      </c>
      <c r="U421" t="s">
        <v>2459</v>
      </c>
      <c r="V421" t="str">
        <f>CHOOSE(MOD(SalesData[[#This Row],[Row ID]]-1,8)+1,"Aarav Sharma","Ananya Singh","Rohan Verma","Priya Gupta","Arjun Mehta","Neha Kapoor","Rahul Joshi","Sneha Patel")</f>
        <v>Rohan Verma</v>
      </c>
      <c r="W42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21" s="8">
        <f>IFERROR(VALUE(SUBSTITUTE(SUBSTITUTE(SalesData[[#This Row],[Profit]],"$",""),",",""))/VALUE(SUBSTITUTE(SUBSTITUTE(SalesData[[#This Row],[Sales]],"$",""),",","")),0)</f>
        <v>-0.1457425410660409</v>
      </c>
      <c r="Y421" s="6">
        <f>IFERROR(VALUE(SUBSTITUTE(SUBSTITUTE(SalesData[[#This Row],[Sales]],"$",""),",",""))/SalesData[[#This Row],[Quantity]],0)</f>
        <v>19.886666666666667</v>
      </c>
      <c r="Z421">
        <f>YEAR(SalesData[[#This Row],[Order Date]])</f>
        <v>2024</v>
      </c>
      <c r="AA421" t="str">
        <f>TEXT(SalesData[[#This Row],[Order Date]],"mmm")</f>
        <v>Feb</v>
      </c>
      <c r="AB42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22" spans="1:28">
      <c r="A422">
        <v>407</v>
      </c>
      <c r="B422" t="s">
        <v>2460</v>
      </c>
      <c r="C422" s="1">
        <v>45346</v>
      </c>
      <c r="D422" s="1">
        <v>45349</v>
      </c>
      <c r="E422" t="s">
        <v>36</v>
      </c>
      <c r="F422" t="s">
        <v>2461</v>
      </c>
      <c r="G422" t="s">
        <v>432</v>
      </c>
      <c r="H422" t="s">
        <v>25</v>
      </c>
      <c r="I422" t="s">
        <v>26</v>
      </c>
      <c r="J422" t="s">
        <v>150</v>
      </c>
      <c r="K422" t="s">
        <v>150</v>
      </c>
      <c r="L422">
        <v>38906</v>
      </c>
      <c r="M422" t="s">
        <v>73</v>
      </c>
      <c r="N422" t="s">
        <v>2462</v>
      </c>
      <c r="O422" t="s">
        <v>30</v>
      </c>
      <c r="P422" t="s">
        <v>31</v>
      </c>
      <c r="Q422" t="s">
        <v>1521</v>
      </c>
      <c r="R422" t="s">
        <v>2463</v>
      </c>
      <c r="S422">
        <v>2</v>
      </c>
      <c r="T422" s="2">
        <v>0.1</v>
      </c>
      <c r="U422" t="s">
        <v>2464</v>
      </c>
      <c r="V422" t="str">
        <f>CHOOSE(MOD(SalesData[[#This Row],[Row ID]]-1,8)+1,"Aarav Sharma","Ananya Singh","Rohan Verma","Priya Gupta","Arjun Mehta","Neha Kapoor","Rahul Joshi","Sneha Patel")</f>
        <v>Rahul Joshi</v>
      </c>
      <c r="W42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22" s="8">
        <f>IFERROR(VALUE(SUBSTITUTE(SUBSTITUTE(SalesData[[#This Row],[Profit]],"$",""),",",""))/VALUE(SUBSTITUTE(SUBSTITUTE(SalesData[[#This Row],[Sales]],"$",""),",","")),0)</f>
        <v>5.5512695803843964E-2</v>
      </c>
      <c r="Y422" s="6">
        <f>IFERROR(VALUE(SUBSTITUTE(SUBSTITUTE(SalesData[[#This Row],[Sales]],"$",""),",",""))/SalesData[[#This Row],[Quantity]],0)</f>
        <v>149.065</v>
      </c>
      <c r="Z422">
        <f>YEAR(SalesData[[#This Row],[Order Date]])</f>
        <v>2024</v>
      </c>
      <c r="AA422" t="str">
        <f>TEXT(SalesData[[#This Row],[Order Date]],"mmm")</f>
        <v>Feb</v>
      </c>
      <c r="AB42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23" spans="1:28">
      <c r="A423">
        <v>249</v>
      </c>
      <c r="B423" t="s">
        <v>2465</v>
      </c>
      <c r="C423" s="1">
        <v>45346</v>
      </c>
      <c r="D423" s="1">
        <v>45351</v>
      </c>
      <c r="E423" t="s">
        <v>36</v>
      </c>
      <c r="F423" t="s">
        <v>2466</v>
      </c>
      <c r="G423" t="s">
        <v>329</v>
      </c>
      <c r="H423" t="s">
        <v>25</v>
      </c>
      <c r="I423" t="s">
        <v>26</v>
      </c>
      <c r="J423" t="s">
        <v>157</v>
      </c>
      <c r="K423" t="s">
        <v>157</v>
      </c>
      <c r="L423">
        <v>20283</v>
      </c>
      <c r="M423" t="s">
        <v>62</v>
      </c>
      <c r="N423" t="s">
        <v>634</v>
      </c>
      <c r="O423" t="s">
        <v>30</v>
      </c>
      <c r="P423" t="s">
        <v>120</v>
      </c>
      <c r="Q423" t="s">
        <v>783</v>
      </c>
      <c r="R423" t="s">
        <v>2467</v>
      </c>
      <c r="S423">
        <v>3</v>
      </c>
      <c r="T423" s="2">
        <v>0</v>
      </c>
      <c r="U423" t="s">
        <v>2468</v>
      </c>
      <c r="V423" t="str">
        <f>CHOOSE(MOD(SalesData[[#This Row],[Row ID]]-1,8)+1,"Aarav Sharma","Ananya Singh","Rohan Verma","Priya Gupta","Arjun Mehta","Neha Kapoor","Rahul Joshi","Sneha Patel")</f>
        <v>Aarav Sharma</v>
      </c>
      <c r="W42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23" s="8">
        <f>IFERROR(VALUE(SUBSTITUTE(SUBSTITUTE(SalesData[[#This Row],[Profit]],"$",""),",",""))/VALUE(SUBSTITUTE(SUBSTITUTE(SalesData[[#This Row],[Sales]],"$",""),",","")),0)</f>
        <v>0.20719391807557022</v>
      </c>
      <c r="Y423" s="6">
        <f>IFERROR(VALUE(SUBSTITUTE(SUBSTITUTE(SalesData[[#This Row],[Sales]],"$",""),",",""))/SalesData[[#This Row],[Quantity]],0)</f>
        <v>29.376666666666665</v>
      </c>
      <c r="Z423">
        <f>YEAR(SalesData[[#This Row],[Order Date]])</f>
        <v>2024</v>
      </c>
      <c r="AA423" t="str">
        <f>TEXT(SalesData[[#This Row],[Order Date]],"mmm")</f>
        <v>Feb</v>
      </c>
      <c r="AB42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24" spans="1:28">
      <c r="A424">
        <v>21</v>
      </c>
      <c r="B424" t="s">
        <v>2469</v>
      </c>
      <c r="C424" s="1">
        <v>45352</v>
      </c>
      <c r="D424" s="1">
        <v>45355</v>
      </c>
      <c r="E424" t="s">
        <v>36</v>
      </c>
      <c r="F424" t="s">
        <v>2470</v>
      </c>
      <c r="G424" t="s">
        <v>211</v>
      </c>
      <c r="H424" t="s">
        <v>60</v>
      </c>
      <c r="I424" t="s">
        <v>26</v>
      </c>
      <c r="J424" t="s">
        <v>438</v>
      </c>
      <c r="K424" t="s">
        <v>438</v>
      </c>
      <c r="L424">
        <v>69638</v>
      </c>
      <c r="M424" t="s">
        <v>28</v>
      </c>
      <c r="N424" t="s">
        <v>2471</v>
      </c>
      <c r="O424" t="s">
        <v>43</v>
      </c>
      <c r="P424" t="s">
        <v>128</v>
      </c>
      <c r="Q424" t="s">
        <v>911</v>
      </c>
      <c r="R424" t="s">
        <v>2472</v>
      </c>
      <c r="S424">
        <v>5</v>
      </c>
      <c r="T424" s="2">
        <v>0.2</v>
      </c>
      <c r="U424" t="s">
        <v>2473</v>
      </c>
      <c r="V424" t="str">
        <f>CHOOSE(MOD(SalesData[[#This Row],[Row ID]]-1,8)+1,"Aarav Sharma","Ananya Singh","Rohan Verma","Priya Gupta","Arjun Mehta","Neha Kapoor","Rahul Joshi","Sneha Patel")</f>
        <v>Arjun Mehta</v>
      </c>
      <c r="W42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24" s="8">
        <f>IFERROR(VALUE(SUBSTITUTE(SUBSTITUTE(SalesData[[#This Row],[Profit]],"$",""),",",""))/VALUE(SUBSTITUTE(SUBSTITUTE(SalesData[[#This Row],[Sales]],"$",""),",","")),0)</f>
        <v>0.16108639662842425</v>
      </c>
      <c r="Y424" s="6">
        <f>IFERROR(VALUE(SUBSTITUTE(SUBSTITUTE(SalesData[[#This Row],[Sales]],"$",""),",",""))/SalesData[[#This Row],[Quantity]],0)</f>
        <v>8.5419999999999998</v>
      </c>
      <c r="Z424">
        <f>YEAR(SalesData[[#This Row],[Order Date]])</f>
        <v>2024</v>
      </c>
      <c r="AA424" t="str">
        <f>TEXT(SalesData[[#This Row],[Order Date]],"mmm")</f>
        <v>Mar</v>
      </c>
      <c r="AB42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25" spans="1:28">
      <c r="A425">
        <v>63</v>
      </c>
      <c r="B425" t="s">
        <v>2474</v>
      </c>
      <c r="C425" s="1">
        <v>45355</v>
      </c>
      <c r="D425" s="1">
        <v>45356</v>
      </c>
      <c r="E425" t="s">
        <v>49</v>
      </c>
      <c r="F425" t="s">
        <v>2475</v>
      </c>
      <c r="G425" t="s">
        <v>1555</v>
      </c>
      <c r="H425" t="s">
        <v>60</v>
      </c>
      <c r="I425" t="s">
        <v>26</v>
      </c>
      <c r="J425" t="s">
        <v>260</v>
      </c>
      <c r="K425" t="s">
        <v>260</v>
      </c>
      <c r="L425">
        <v>84478</v>
      </c>
      <c r="M425" t="s">
        <v>41</v>
      </c>
      <c r="N425" t="s">
        <v>2476</v>
      </c>
      <c r="O425" t="s">
        <v>30</v>
      </c>
      <c r="P425" t="s">
        <v>120</v>
      </c>
      <c r="Q425" t="s">
        <v>2117</v>
      </c>
      <c r="R425" t="s">
        <v>2477</v>
      </c>
      <c r="S425">
        <v>6</v>
      </c>
      <c r="T425" s="2">
        <v>0.2</v>
      </c>
      <c r="U425" t="s">
        <v>2478</v>
      </c>
      <c r="V425" t="str">
        <f>CHOOSE(MOD(SalesData[[#This Row],[Row ID]]-1,8)+1,"Aarav Sharma","Ananya Singh","Rohan Verma","Priya Gupta","Arjun Mehta","Neha Kapoor","Rahul Joshi","Sneha Patel")</f>
        <v>Rahul Joshi</v>
      </c>
      <c r="W42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25" s="8">
        <f>IFERROR(VALUE(SUBSTITUTE(SUBSTITUTE(SalesData[[#This Row],[Profit]],"$",""),",",""))/VALUE(SUBSTITUTE(SUBSTITUTE(SalesData[[#This Row],[Sales]],"$",""),",","")),0)</f>
        <v>1.9950487840396099E-2</v>
      </c>
      <c r="Y425" s="6">
        <f>IFERROR(VALUE(SUBSTITUTE(SUBSTITUTE(SalesData[[#This Row],[Sales]],"$",""),",",""))/SalesData[[#This Row],[Quantity]],0)</f>
        <v>22.89</v>
      </c>
      <c r="Z425">
        <f>YEAR(SalesData[[#This Row],[Order Date]])</f>
        <v>2024</v>
      </c>
      <c r="AA425" t="str">
        <f>TEXT(SalesData[[#This Row],[Order Date]],"mmm")</f>
        <v>Mar</v>
      </c>
      <c r="AB42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26" spans="1:28">
      <c r="A426">
        <v>503</v>
      </c>
      <c r="B426" t="s">
        <v>2479</v>
      </c>
      <c r="C426" s="1">
        <v>45359</v>
      </c>
      <c r="D426" s="1">
        <v>45362</v>
      </c>
      <c r="E426" t="s">
        <v>49</v>
      </c>
      <c r="F426" t="s">
        <v>2480</v>
      </c>
      <c r="G426" t="s">
        <v>952</v>
      </c>
      <c r="H426" t="s">
        <v>25</v>
      </c>
      <c r="I426" t="s">
        <v>26</v>
      </c>
      <c r="J426" t="s">
        <v>245</v>
      </c>
      <c r="K426" t="s">
        <v>245</v>
      </c>
      <c r="L426">
        <v>65184</v>
      </c>
      <c r="M426" t="s">
        <v>41</v>
      </c>
      <c r="N426" t="s">
        <v>2481</v>
      </c>
      <c r="O426" t="s">
        <v>30</v>
      </c>
      <c r="P426" t="s">
        <v>31</v>
      </c>
      <c r="Q426" t="s">
        <v>2482</v>
      </c>
      <c r="R426" t="s">
        <v>2483</v>
      </c>
      <c r="S426">
        <v>4</v>
      </c>
      <c r="T426" s="2">
        <v>0.2</v>
      </c>
      <c r="U426" t="s">
        <v>2484</v>
      </c>
      <c r="V426" t="str">
        <f>CHOOSE(MOD(SalesData[[#This Row],[Row ID]]-1,8)+1,"Aarav Sharma","Ananya Singh","Rohan Verma","Priya Gupta","Arjun Mehta","Neha Kapoor","Rahul Joshi","Sneha Patel")</f>
        <v>Rahul Joshi</v>
      </c>
      <c r="W42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26" s="8">
        <f>IFERROR(VALUE(SUBSTITUTE(SUBSTITUTE(SalesData[[#This Row],[Profit]],"$",""),",",""))/VALUE(SUBSTITUTE(SUBSTITUTE(SalesData[[#This Row],[Sales]],"$",""),",","")),0)</f>
        <v>-2.1837549933422105E-2</v>
      </c>
      <c r="Y426" s="6">
        <f>IFERROR(VALUE(SUBSTITUTE(SUBSTITUTE(SalesData[[#This Row],[Sales]],"$",""),",",""))/SalesData[[#This Row],[Quantity]],0)</f>
        <v>9.3874999999999993</v>
      </c>
      <c r="Z426">
        <f>YEAR(SalesData[[#This Row],[Order Date]])</f>
        <v>2024</v>
      </c>
      <c r="AA426" t="str">
        <f>TEXT(SalesData[[#This Row],[Order Date]],"mmm")</f>
        <v>Mar</v>
      </c>
      <c r="AB42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27" spans="1:28">
      <c r="A427">
        <v>435</v>
      </c>
      <c r="B427" t="s">
        <v>2485</v>
      </c>
      <c r="C427" s="1">
        <v>45359</v>
      </c>
      <c r="D427" s="1">
        <v>45362</v>
      </c>
      <c r="E427" t="s">
        <v>36</v>
      </c>
      <c r="F427" t="s">
        <v>2486</v>
      </c>
      <c r="G427" t="s">
        <v>418</v>
      </c>
      <c r="H427" t="s">
        <v>25</v>
      </c>
      <c r="I427" t="s">
        <v>26</v>
      </c>
      <c r="J427" t="s">
        <v>212</v>
      </c>
      <c r="K427" t="s">
        <v>212</v>
      </c>
      <c r="L427">
        <v>66866</v>
      </c>
      <c r="M427" t="s">
        <v>28</v>
      </c>
      <c r="N427" t="s">
        <v>2487</v>
      </c>
      <c r="O427" t="s">
        <v>30</v>
      </c>
      <c r="P427" t="s">
        <v>31</v>
      </c>
      <c r="Q427" t="s">
        <v>386</v>
      </c>
      <c r="R427" t="s">
        <v>2488</v>
      </c>
      <c r="S427">
        <v>1</v>
      </c>
      <c r="T427" s="2">
        <v>0.05</v>
      </c>
      <c r="U427" t="s">
        <v>2489</v>
      </c>
      <c r="V427" t="str">
        <f>CHOOSE(MOD(SalesData[[#This Row],[Row ID]]-1,8)+1,"Aarav Sharma","Ananya Singh","Rohan Verma","Priya Gupta","Arjun Mehta","Neha Kapoor","Rahul Joshi","Sneha Patel")</f>
        <v>Rohan Verma</v>
      </c>
      <c r="W42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27" s="8">
        <f>IFERROR(VALUE(SUBSTITUTE(SUBSTITUTE(SalesData[[#This Row],[Profit]],"$",""),",",""))/VALUE(SUBSTITUTE(SUBSTITUTE(SalesData[[#This Row],[Sales]],"$",""),",","")),0)</f>
        <v>0.11095422990940111</v>
      </c>
      <c r="Y427" s="6">
        <f>IFERROR(VALUE(SUBSTITUTE(SUBSTITUTE(SalesData[[#This Row],[Sales]],"$",""),",",""))/SalesData[[#This Row],[Quantity]],0)</f>
        <v>339.96</v>
      </c>
      <c r="Z427">
        <f>YEAR(SalesData[[#This Row],[Order Date]])</f>
        <v>2024</v>
      </c>
      <c r="AA427" t="str">
        <f>TEXT(SalesData[[#This Row],[Order Date]],"mmm")</f>
        <v>Mar</v>
      </c>
      <c r="AB42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28" spans="1:28">
      <c r="A428">
        <v>220</v>
      </c>
      <c r="B428" t="s">
        <v>2490</v>
      </c>
      <c r="C428" s="1">
        <v>45360</v>
      </c>
      <c r="D428" s="1">
        <v>45364</v>
      </c>
      <c r="E428" t="s">
        <v>36</v>
      </c>
      <c r="F428" t="s">
        <v>2491</v>
      </c>
      <c r="G428" t="s">
        <v>2029</v>
      </c>
      <c r="H428" t="s">
        <v>25</v>
      </c>
      <c r="I428" t="s">
        <v>26</v>
      </c>
      <c r="J428" t="s">
        <v>150</v>
      </c>
      <c r="K428" t="s">
        <v>150</v>
      </c>
      <c r="L428">
        <v>42933</v>
      </c>
      <c r="M428" t="s">
        <v>73</v>
      </c>
      <c r="N428" t="s">
        <v>2492</v>
      </c>
      <c r="O428" t="s">
        <v>64</v>
      </c>
      <c r="P428" t="s">
        <v>65</v>
      </c>
      <c r="Q428" t="s">
        <v>2493</v>
      </c>
      <c r="R428" t="s">
        <v>2494</v>
      </c>
      <c r="S428">
        <v>3</v>
      </c>
      <c r="T428" s="2">
        <v>0</v>
      </c>
      <c r="U428" t="s">
        <v>2495</v>
      </c>
      <c r="V428" t="str">
        <f>CHOOSE(MOD(SalesData[[#This Row],[Row ID]]-1,8)+1,"Aarav Sharma","Ananya Singh","Rohan Verma","Priya Gupta","Arjun Mehta","Neha Kapoor","Rahul Joshi","Sneha Patel")</f>
        <v>Priya Gupta</v>
      </c>
      <c r="W42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28" s="8">
        <f>IFERROR(VALUE(SUBSTITUTE(SUBSTITUTE(SalesData[[#This Row],[Profit]],"$",""),",",""))/VALUE(SUBSTITUTE(SUBSTITUTE(SalesData[[#This Row],[Sales]],"$",""),",","")),0)</f>
        <v>0.34967002863902374</v>
      </c>
      <c r="Y428" s="6">
        <f>IFERROR(VALUE(SUBSTITUTE(SUBSTITUTE(SalesData[[#This Row],[Sales]],"$",""),",",""))/SalesData[[#This Row],[Quantity]],0)</f>
        <v>133.85</v>
      </c>
      <c r="Z428">
        <f>YEAR(SalesData[[#This Row],[Order Date]])</f>
        <v>2024</v>
      </c>
      <c r="AA428" t="str">
        <f>TEXT(SalesData[[#This Row],[Order Date]],"mmm")</f>
        <v>Mar</v>
      </c>
      <c r="AB42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29" spans="1:28">
      <c r="A429">
        <v>94</v>
      </c>
      <c r="B429" t="s">
        <v>2496</v>
      </c>
      <c r="C429" s="1">
        <v>45362</v>
      </c>
      <c r="D429" s="1">
        <v>45365</v>
      </c>
      <c r="E429" t="s">
        <v>36</v>
      </c>
      <c r="F429" t="s">
        <v>2497</v>
      </c>
      <c r="G429" t="s">
        <v>525</v>
      </c>
      <c r="H429" t="s">
        <v>39</v>
      </c>
      <c r="I429" t="s">
        <v>26</v>
      </c>
      <c r="J429" t="s">
        <v>40</v>
      </c>
      <c r="K429" t="s">
        <v>40</v>
      </c>
      <c r="L429">
        <v>95150</v>
      </c>
      <c r="M429" t="s">
        <v>41</v>
      </c>
      <c r="N429" t="s">
        <v>2498</v>
      </c>
      <c r="O429" t="s">
        <v>43</v>
      </c>
      <c r="P429" t="s">
        <v>44</v>
      </c>
      <c r="Q429" t="s">
        <v>2499</v>
      </c>
      <c r="R429" t="s">
        <v>2500</v>
      </c>
      <c r="S429">
        <v>1</v>
      </c>
      <c r="T429" s="2">
        <v>0.1</v>
      </c>
      <c r="U429" t="s">
        <v>2501</v>
      </c>
      <c r="V429" t="str">
        <f>CHOOSE(MOD(SalesData[[#This Row],[Row ID]]-1,8)+1,"Aarav Sharma","Ananya Singh","Rohan Verma","Priya Gupta","Arjun Mehta","Neha Kapoor","Rahul Joshi","Sneha Patel")</f>
        <v>Neha Kapoor</v>
      </c>
      <c r="W42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29" s="8">
        <f>IFERROR(VALUE(SUBSTITUTE(SUBSTITUTE(SalesData[[#This Row],[Profit]],"$",""),",",""))/VALUE(SUBSTITUTE(SUBSTITUTE(SalesData[[#This Row],[Sales]],"$",""),",","")),0)</f>
        <v>7.9960391137517017E-2</v>
      </c>
      <c r="Y429" s="6">
        <f>IFERROR(VALUE(SUBSTITUTE(SUBSTITUTE(SalesData[[#This Row],[Sales]],"$",""),",",""))/SalesData[[#This Row],[Quantity]],0)</f>
        <v>80.790000000000006</v>
      </c>
      <c r="Z429">
        <f>YEAR(SalesData[[#This Row],[Order Date]])</f>
        <v>2024</v>
      </c>
      <c r="AA429" t="str">
        <f>TEXT(SalesData[[#This Row],[Order Date]],"mmm")</f>
        <v>Mar</v>
      </c>
      <c r="AB42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30" spans="1:28">
      <c r="A430">
        <v>23</v>
      </c>
      <c r="B430" t="s">
        <v>2502</v>
      </c>
      <c r="C430" s="1">
        <v>45363</v>
      </c>
      <c r="D430" s="1">
        <v>45365</v>
      </c>
      <c r="E430" t="s">
        <v>36</v>
      </c>
      <c r="F430" t="s">
        <v>2503</v>
      </c>
      <c r="G430" t="s">
        <v>1744</v>
      </c>
      <c r="H430" t="s">
        <v>25</v>
      </c>
      <c r="I430" t="s">
        <v>26</v>
      </c>
      <c r="J430" t="s">
        <v>363</v>
      </c>
      <c r="K430" t="s">
        <v>363</v>
      </c>
      <c r="L430">
        <v>82369</v>
      </c>
      <c r="M430" t="s">
        <v>62</v>
      </c>
      <c r="N430" t="s">
        <v>2462</v>
      </c>
      <c r="O430" t="s">
        <v>43</v>
      </c>
      <c r="P430" t="s">
        <v>128</v>
      </c>
      <c r="Q430" t="s">
        <v>2291</v>
      </c>
      <c r="R430" t="s">
        <v>2504</v>
      </c>
      <c r="S430">
        <v>7</v>
      </c>
      <c r="T430" s="2">
        <v>0.4</v>
      </c>
      <c r="U430" t="s">
        <v>1914</v>
      </c>
      <c r="V430" t="str">
        <f>CHOOSE(MOD(SalesData[[#This Row],[Row ID]]-1,8)+1,"Aarav Sharma","Ananya Singh","Rohan Verma","Priya Gupta","Arjun Mehta","Neha Kapoor","Rahul Joshi","Sneha Patel")</f>
        <v>Rahul Joshi</v>
      </c>
      <c r="W43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30" s="8">
        <f>IFERROR(VALUE(SUBSTITUTE(SUBSTITUTE(SalesData[[#This Row],[Profit]],"$",""),",",""))/VALUE(SUBSTITUTE(SUBSTITUTE(SalesData[[#This Row],[Sales]],"$",""),",","")),0)</f>
        <v>-4.9545072253230377E-2</v>
      </c>
      <c r="Y430" s="6">
        <f>IFERROR(VALUE(SUBSTITUTE(SUBSTITUTE(SalesData[[#This Row],[Sales]],"$",""),",",""))/SalesData[[#This Row],[Quantity]],0)</f>
        <v>18.684285714285714</v>
      </c>
      <c r="Z430">
        <f>YEAR(SalesData[[#This Row],[Order Date]])</f>
        <v>2024</v>
      </c>
      <c r="AA430" t="str">
        <f>TEXT(SalesData[[#This Row],[Order Date]],"mmm")</f>
        <v>Mar</v>
      </c>
      <c r="AB43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31" spans="1:28">
      <c r="A431">
        <v>198</v>
      </c>
      <c r="B431" t="s">
        <v>2505</v>
      </c>
      <c r="C431" s="1">
        <v>45363</v>
      </c>
      <c r="D431" s="1">
        <v>45367</v>
      </c>
      <c r="E431" t="s">
        <v>49</v>
      </c>
      <c r="F431" t="s">
        <v>2506</v>
      </c>
      <c r="G431" t="s">
        <v>2507</v>
      </c>
      <c r="H431" t="s">
        <v>25</v>
      </c>
      <c r="I431" t="s">
        <v>26</v>
      </c>
      <c r="J431" t="s">
        <v>61</v>
      </c>
      <c r="K431" t="s">
        <v>61</v>
      </c>
      <c r="L431">
        <v>94381</v>
      </c>
      <c r="M431" t="s">
        <v>62</v>
      </c>
      <c r="N431" t="s">
        <v>2508</v>
      </c>
      <c r="O431" t="s">
        <v>30</v>
      </c>
      <c r="P431" t="s">
        <v>197</v>
      </c>
      <c r="Q431" t="s">
        <v>2509</v>
      </c>
      <c r="R431" t="s">
        <v>2510</v>
      </c>
      <c r="S431">
        <v>3</v>
      </c>
      <c r="T431" s="2">
        <v>0.2</v>
      </c>
      <c r="U431" t="s">
        <v>2511</v>
      </c>
      <c r="V431" t="str">
        <f>CHOOSE(MOD(SalesData[[#This Row],[Row ID]]-1,8)+1,"Aarav Sharma","Ananya Singh","Rohan Verma","Priya Gupta","Arjun Mehta","Neha Kapoor","Rahul Joshi","Sneha Patel")</f>
        <v>Neha Kapoor</v>
      </c>
      <c r="W43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31" s="8">
        <f>IFERROR(VALUE(SUBSTITUTE(SUBSTITUTE(SalesData[[#This Row],[Profit]],"$",""),",",""))/VALUE(SUBSTITUTE(SUBSTITUTE(SalesData[[#This Row],[Sales]],"$",""),",","")),0)</f>
        <v>1.5347245224688087E-2</v>
      </c>
      <c r="Y431" s="6">
        <f>IFERROR(VALUE(SUBSTITUTE(SUBSTITUTE(SalesData[[#This Row],[Sales]],"$",""),",",""))/SalesData[[#This Row],[Quantity]],0)</f>
        <v>30.189999999999998</v>
      </c>
      <c r="Z431">
        <f>YEAR(SalesData[[#This Row],[Order Date]])</f>
        <v>2024</v>
      </c>
      <c r="AA431" t="str">
        <f>TEXT(SalesData[[#This Row],[Order Date]],"mmm")</f>
        <v>Mar</v>
      </c>
      <c r="AB43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32" spans="1:28">
      <c r="A432">
        <v>258</v>
      </c>
      <c r="B432" t="s">
        <v>2512</v>
      </c>
      <c r="C432" s="1">
        <v>45365</v>
      </c>
      <c r="D432" s="1">
        <v>45368</v>
      </c>
      <c r="E432" t="s">
        <v>36</v>
      </c>
      <c r="F432" t="s">
        <v>2513</v>
      </c>
      <c r="G432" t="s">
        <v>648</v>
      </c>
      <c r="H432" t="s">
        <v>25</v>
      </c>
      <c r="I432" t="s">
        <v>26</v>
      </c>
      <c r="J432" t="s">
        <v>229</v>
      </c>
      <c r="K432" t="s">
        <v>229</v>
      </c>
      <c r="L432">
        <v>22748</v>
      </c>
      <c r="M432" t="s">
        <v>73</v>
      </c>
      <c r="N432" t="s">
        <v>2431</v>
      </c>
      <c r="O432" t="s">
        <v>43</v>
      </c>
      <c r="P432" t="s">
        <v>44</v>
      </c>
      <c r="Q432" t="s">
        <v>239</v>
      </c>
      <c r="R432" t="s">
        <v>2514</v>
      </c>
      <c r="S432">
        <v>4</v>
      </c>
      <c r="T432" s="2">
        <v>0.15</v>
      </c>
      <c r="U432" t="s">
        <v>2515</v>
      </c>
      <c r="V432" t="str">
        <f>CHOOSE(MOD(SalesData[[#This Row],[Row ID]]-1,8)+1,"Aarav Sharma","Ananya Singh","Rohan Verma","Priya Gupta","Arjun Mehta","Neha Kapoor","Rahul Joshi","Sneha Patel")</f>
        <v>Ananya Singh</v>
      </c>
      <c r="W43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32" s="8">
        <f>IFERROR(VALUE(SUBSTITUTE(SUBSTITUTE(SalesData[[#This Row],[Profit]],"$",""),",",""))/VALUE(SUBSTITUTE(SUBSTITUTE(SalesData[[#This Row],[Sales]],"$",""),",","")),0)</f>
        <v>4.5601291364003219E-2</v>
      </c>
      <c r="Y432" s="6">
        <f>IFERROR(VALUE(SUBSTITUTE(SUBSTITUTE(SalesData[[#This Row],[Sales]],"$",""),",",""))/SalesData[[#This Row],[Quantity]],0)</f>
        <v>6.1950000000000003</v>
      </c>
      <c r="Z432">
        <f>YEAR(SalesData[[#This Row],[Order Date]])</f>
        <v>2024</v>
      </c>
      <c r="AA432" t="str">
        <f>TEXT(SalesData[[#This Row],[Order Date]],"mmm")</f>
        <v>Mar</v>
      </c>
      <c r="AB43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33" spans="1:28">
      <c r="A433">
        <v>68</v>
      </c>
      <c r="B433" t="s">
        <v>2516</v>
      </c>
      <c r="C433" s="1">
        <v>45366</v>
      </c>
      <c r="D433" s="1">
        <v>45369</v>
      </c>
      <c r="E433" t="s">
        <v>49</v>
      </c>
      <c r="F433" t="s">
        <v>2517</v>
      </c>
      <c r="G433" t="s">
        <v>244</v>
      </c>
      <c r="H433" t="s">
        <v>39</v>
      </c>
      <c r="I433" t="s">
        <v>26</v>
      </c>
      <c r="J433" t="s">
        <v>641</v>
      </c>
      <c r="K433" t="s">
        <v>641</v>
      </c>
      <c r="L433">
        <v>39430</v>
      </c>
      <c r="M433" t="s">
        <v>62</v>
      </c>
      <c r="N433" t="s">
        <v>2518</v>
      </c>
      <c r="O433" t="s">
        <v>43</v>
      </c>
      <c r="P433" t="s">
        <v>83</v>
      </c>
      <c r="Q433" t="s">
        <v>487</v>
      </c>
      <c r="R433" t="s">
        <v>2519</v>
      </c>
      <c r="S433">
        <v>5</v>
      </c>
      <c r="T433" s="2">
        <v>0.2</v>
      </c>
      <c r="U433" t="s">
        <v>2520</v>
      </c>
      <c r="V433" t="str">
        <f>CHOOSE(MOD(SalesData[[#This Row],[Row ID]]-1,8)+1,"Aarav Sharma","Ananya Singh","Rohan Verma","Priya Gupta","Arjun Mehta","Neha Kapoor","Rahul Joshi","Sneha Patel")</f>
        <v>Priya Gupta</v>
      </c>
      <c r="W43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33" s="8">
        <f>IFERROR(VALUE(SUBSTITUTE(SUBSTITUTE(SalesData[[#This Row],[Profit]],"$",""),",",""))/VALUE(SUBSTITUTE(SUBSTITUTE(SalesData[[#This Row],[Sales]],"$",""),",","")),0)</f>
        <v>0.13196322336398053</v>
      </c>
      <c r="Y433" s="6">
        <f>IFERROR(VALUE(SUBSTITUTE(SUBSTITUTE(SalesData[[#This Row],[Sales]],"$",""),",",""))/SalesData[[#This Row],[Quantity]],0)</f>
        <v>7.395999999999999</v>
      </c>
      <c r="Z433">
        <f>YEAR(SalesData[[#This Row],[Order Date]])</f>
        <v>2024</v>
      </c>
      <c r="AA433" t="str">
        <f>TEXT(SalesData[[#This Row],[Order Date]],"mmm")</f>
        <v>Mar</v>
      </c>
      <c r="AB43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34" spans="1:28">
      <c r="A434">
        <v>225</v>
      </c>
      <c r="B434" t="s">
        <v>2521</v>
      </c>
      <c r="C434" s="1">
        <v>45366</v>
      </c>
      <c r="D434" s="1">
        <v>45370</v>
      </c>
      <c r="E434" t="s">
        <v>36</v>
      </c>
      <c r="F434" t="s">
        <v>2522</v>
      </c>
      <c r="G434" t="s">
        <v>844</v>
      </c>
      <c r="H434" t="s">
        <v>39</v>
      </c>
      <c r="I434" t="s">
        <v>26</v>
      </c>
      <c r="J434" t="s">
        <v>157</v>
      </c>
      <c r="K434" t="s">
        <v>157</v>
      </c>
      <c r="L434">
        <v>35517</v>
      </c>
      <c r="M434" t="s">
        <v>62</v>
      </c>
      <c r="N434" t="s">
        <v>1277</v>
      </c>
      <c r="O434" t="s">
        <v>64</v>
      </c>
      <c r="P434" t="s">
        <v>136</v>
      </c>
      <c r="Q434" t="s">
        <v>1189</v>
      </c>
      <c r="R434" t="s">
        <v>2523</v>
      </c>
      <c r="S434">
        <v>5</v>
      </c>
      <c r="T434" s="2">
        <v>0.15</v>
      </c>
      <c r="U434" t="s">
        <v>2524</v>
      </c>
      <c r="V434" t="str">
        <f>CHOOSE(MOD(SalesData[[#This Row],[Row ID]]-1,8)+1,"Aarav Sharma","Ananya Singh","Rohan Verma","Priya Gupta","Arjun Mehta","Neha Kapoor","Rahul Joshi","Sneha Patel")</f>
        <v>Aarav Sharma</v>
      </c>
      <c r="W43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34" s="8">
        <f>IFERROR(VALUE(SUBSTITUTE(SUBSTITUTE(SalesData[[#This Row],[Profit]],"$",""),",",""))/VALUE(SUBSTITUTE(SUBSTITUTE(SalesData[[#This Row],[Sales]],"$",""),",","")),0)</f>
        <v>0.18130049000132431</v>
      </c>
      <c r="Y434" s="6">
        <f>IFERROR(VALUE(SUBSTITUTE(SUBSTITUTE(SalesData[[#This Row],[Sales]],"$",""),",",""))/SalesData[[#This Row],[Quantity]],0)</f>
        <v>30.204000000000001</v>
      </c>
      <c r="Z434">
        <f>YEAR(SalesData[[#This Row],[Order Date]])</f>
        <v>2024</v>
      </c>
      <c r="AA434" t="str">
        <f>TEXT(SalesData[[#This Row],[Order Date]],"mmm")</f>
        <v>Mar</v>
      </c>
      <c r="AB43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35" spans="1:28">
      <c r="A435">
        <v>42</v>
      </c>
      <c r="B435" t="s">
        <v>2525</v>
      </c>
      <c r="C435" s="1">
        <v>45367</v>
      </c>
      <c r="D435" s="1">
        <v>45370</v>
      </c>
      <c r="E435" t="s">
        <v>36</v>
      </c>
      <c r="F435" t="s">
        <v>2526</v>
      </c>
      <c r="G435" t="s">
        <v>1076</v>
      </c>
      <c r="H435" t="s">
        <v>25</v>
      </c>
      <c r="I435" t="s">
        <v>26</v>
      </c>
      <c r="J435" t="s">
        <v>52</v>
      </c>
      <c r="K435" t="s">
        <v>52</v>
      </c>
      <c r="L435">
        <v>36734</v>
      </c>
      <c r="M435" t="s">
        <v>41</v>
      </c>
      <c r="N435" t="s">
        <v>2023</v>
      </c>
      <c r="O435" t="s">
        <v>30</v>
      </c>
      <c r="P435" t="s">
        <v>222</v>
      </c>
      <c r="Q435" t="s">
        <v>434</v>
      </c>
      <c r="R435" t="s">
        <v>2527</v>
      </c>
      <c r="S435">
        <v>6</v>
      </c>
      <c r="T435" s="2">
        <v>0.1</v>
      </c>
      <c r="U435" t="s">
        <v>1654</v>
      </c>
      <c r="V435" t="str">
        <f>CHOOSE(MOD(SalesData[[#This Row],[Row ID]]-1,8)+1,"Aarav Sharma","Ananya Singh","Rohan Verma","Priya Gupta","Arjun Mehta","Neha Kapoor","Rahul Joshi","Sneha Patel")</f>
        <v>Ananya Singh</v>
      </c>
      <c r="W43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35" s="8">
        <f>IFERROR(VALUE(SUBSTITUTE(SUBSTITUTE(SalesData[[#This Row],[Profit]],"$",""),",",""))/VALUE(SUBSTITUTE(SUBSTITUTE(SalesData[[#This Row],[Sales]],"$",""),",","")),0)</f>
        <v>0.14598200434377911</v>
      </c>
      <c r="Y435" s="6">
        <f>IFERROR(VALUE(SUBSTITUTE(SUBSTITUTE(SalesData[[#This Row],[Sales]],"$",""),",",""))/SalesData[[#This Row],[Quantity]],0)</f>
        <v>10.743333333333332</v>
      </c>
      <c r="Z435">
        <f>YEAR(SalesData[[#This Row],[Order Date]])</f>
        <v>2024</v>
      </c>
      <c r="AA435" t="str">
        <f>TEXT(SalesData[[#This Row],[Order Date]],"mmm")</f>
        <v>Mar</v>
      </c>
      <c r="AB43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36" spans="1:28">
      <c r="A436">
        <v>553</v>
      </c>
      <c r="B436" t="s">
        <v>2528</v>
      </c>
      <c r="C436" s="1">
        <v>45374</v>
      </c>
      <c r="D436" s="1">
        <v>45377</v>
      </c>
      <c r="E436" t="s">
        <v>49</v>
      </c>
      <c r="F436" t="s">
        <v>2529</v>
      </c>
      <c r="G436" t="s">
        <v>1758</v>
      </c>
      <c r="H436" t="s">
        <v>39</v>
      </c>
      <c r="I436" t="s">
        <v>26</v>
      </c>
      <c r="J436" t="s">
        <v>229</v>
      </c>
      <c r="K436" t="s">
        <v>229</v>
      </c>
      <c r="L436">
        <v>96120</v>
      </c>
      <c r="M436" t="s">
        <v>73</v>
      </c>
      <c r="N436" t="s">
        <v>883</v>
      </c>
      <c r="O436" t="s">
        <v>30</v>
      </c>
      <c r="P436" t="s">
        <v>31</v>
      </c>
      <c r="Q436" t="s">
        <v>2530</v>
      </c>
      <c r="R436" t="s">
        <v>2531</v>
      </c>
      <c r="S436">
        <v>4</v>
      </c>
      <c r="T436" s="2">
        <v>0.15</v>
      </c>
      <c r="U436" t="s">
        <v>2532</v>
      </c>
      <c r="V436" t="str">
        <f>CHOOSE(MOD(SalesData[[#This Row],[Row ID]]-1,8)+1,"Aarav Sharma","Ananya Singh","Rohan Verma","Priya Gupta","Arjun Mehta","Neha Kapoor","Rahul Joshi","Sneha Patel")</f>
        <v>Aarav Sharma</v>
      </c>
      <c r="W43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36" s="8">
        <f>IFERROR(VALUE(SUBSTITUTE(SUBSTITUTE(SalesData[[#This Row],[Profit]],"$",""),",",""))/VALUE(SUBSTITUTE(SUBSTITUTE(SalesData[[#This Row],[Sales]],"$",""),",","")),0)</f>
        <v>7.1640396964389952E-2</v>
      </c>
      <c r="Y436" s="6">
        <f>IFERROR(VALUE(SUBSTITUTE(SUBSTITUTE(SalesData[[#This Row],[Sales]],"$",""),",",""))/SalesData[[#This Row],[Quantity]],0)</f>
        <v>107.0625</v>
      </c>
      <c r="Z436">
        <f>YEAR(SalesData[[#This Row],[Order Date]])</f>
        <v>2024</v>
      </c>
      <c r="AA436" t="str">
        <f>TEXT(SalesData[[#This Row],[Order Date]],"mmm")</f>
        <v>Mar</v>
      </c>
      <c r="AB43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37" spans="1:28">
      <c r="A437">
        <v>286</v>
      </c>
      <c r="B437" t="s">
        <v>2533</v>
      </c>
      <c r="C437" s="1">
        <v>45374</v>
      </c>
      <c r="D437" s="1">
        <v>45377</v>
      </c>
      <c r="E437" t="s">
        <v>36</v>
      </c>
      <c r="F437" t="s">
        <v>2534</v>
      </c>
      <c r="G437" t="s">
        <v>677</v>
      </c>
      <c r="H437" t="s">
        <v>25</v>
      </c>
      <c r="I437" t="s">
        <v>26</v>
      </c>
      <c r="J437" t="s">
        <v>260</v>
      </c>
      <c r="K437" t="s">
        <v>260</v>
      </c>
      <c r="L437">
        <v>16869</v>
      </c>
      <c r="M437" t="s">
        <v>41</v>
      </c>
      <c r="N437" t="s">
        <v>213</v>
      </c>
      <c r="O437" t="s">
        <v>64</v>
      </c>
      <c r="P437" t="s">
        <v>65</v>
      </c>
      <c r="Q437" t="s">
        <v>927</v>
      </c>
      <c r="R437" t="s">
        <v>2535</v>
      </c>
      <c r="S437">
        <v>6</v>
      </c>
      <c r="T437" s="2">
        <v>0.3</v>
      </c>
      <c r="U437" t="s">
        <v>2536</v>
      </c>
      <c r="V437" t="str">
        <f>CHOOSE(MOD(SalesData[[#This Row],[Row ID]]-1,8)+1,"Aarav Sharma","Ananya Singh","Rohan Verma","Priya Gupta","Arjun Mehta","Neha Kapoor","Rahul Joshi","Sneha Patel")</f>
        <v>Neha Kapoor</v>
      </c>
      <c r="W43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37" s="8">
        <f>IFERROR(VALUE(SUBSTITUTE(SUBSTITUTE(SalesData[[#This Row],[Profit]],"$",""),",",""))/VALUE(SUBSTITUTE(SUBSTITUTE(SalesData[[#This Row],[Sales]],"$",""),",","")),0)</f>
        <v>7.0861452957522844E-2</v>
      </c>
      <c r="Y437" s="6">
        <f>IFERROR(VALUE(SUBSTITUTE(SUBSTITUTE(SalesData[[#This Row],[Sales]],"$",""),",",""))/SalesData[[#This Row],[Quantity]],0)</f>
        <v>25.189999999999998</v>
      </c>
      <c r="Z437">
        <f>YEAR(SalesData[[#This Row],[Order Date]])</f>
        <v>2024</v>
      </c>
      <c r="AA437" t="str">
        <f>TEXT(SalesData[[#This Row],[Order Date]],"mmm")</f>
        <v>Mar</v>
      </c>
      <c r="AB43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38" spans="1:28">
      <c r="A438">
        <v>399</v>
      </c>
      <c r="B438" t="s">
        <v>2537</v>
      </c>
      <c r="C438" s="1">
        <v>45379</v>
      </c>
      <c r="D438" s="1">
        <v>45383</v>
      </c>
      <c r="E438" t="s">
        <v>36</v>
      </c>
      <c r="F438" t="s">
        <v>2538</v>
      </c>
      <c r="G438" t="s">
        <v>1997</v>
      </c>
      <c r="H438" t="s">
        <v>25</v>
      </c>
      <c r="I438" t="s">
        <v>26</v>
      </c>
      <c r="J438" t="s">
        <v>72</v>
      </c>
      <c r="K438" t="s">
        <v>72</v>
      </c>
      <c r="L438">
        <v>12765</v>
      </c>
      <c r="M438" t="s">
        <v>73</v>
      </c>
      <c r="N438" t="s">
        <v>2539</v>
      </c>
      <c r="O438" t="s">
        <v>30</v>
      </c>
      <c r="P438" t="s">
        <v>197</v>
      </c>
      <c r="Q438" t="s">
        <v>1696</v>
      </c>
      <c r="R438" t="s">
        <v>2540</v>
      </c>
      <c r="S438">
        <v>2</v>
      </c>
      <c r="T438" s="2">
        <v>0.1</v>
      </c>
      <c r="U438" t="s">
        <v>2541</v>
      </c>
      <c r="V438" t="str">
        <f>CHOOSE(MOD(SalesData[[#This Row],[Row ID]]-1,8)+1,"Aarav Sharma","Ananya Singh","Rohan Verma","Priya Gupta","Arjun Mehta","Neha Kapoor","Rahul Joshi","Sneha Patel")</f>
        <v>Rahul Joshi</v>
      </c>
      <c r="W43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38" s="8">
        <f>IFERROR(VALUE(SUBSTITUTE(SUBSTITUTE(SalesData[[#This Row],[Profit]],"$",""),",",""))/VALUE(SUBSTITUTE(SUBSTITUTE(SalesData[[#This Row],[Sales]],"$",""),",","")),0)</f>
        <v>3.0704335883853247E-2</v>
      </c>
      <c r="Y438" s="6">
        <f>IFERROR(VALUE(SUBSTITUTE(SUBSTITUTE(SalesData[[#This Row],[Sales]],"$",""),",",""))/SalesData[[#This Row],[Quantity]],0)</f>
        <v>101.94</v>
      </c>
      <c r="Z438">
        <f>YEAR(SalesData[[#This Row],[Order Date]])</f>
        <v>2024</v>
      </c>
      <c r="AA438" t="str">
        <f>TEXT(SalesData[[#This Row],[Order Date]],"mmm")</f>
        <v>Mar</v>
      </c>
      <c r="AB43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39" spans="1:28">
      <c r="A439">
        <v>168</v>
      </c>
      <c r="B439" t="s">
        <v>2542</v>
      </c>
      <c r="C439" s="1">
        <v>45379</v>
      </c>
      <c r="D439" s="1">
        <v>45382</v>
      </c>
      <c r="E439" t="s">
        <v>22</v>
      </c>
      <c r="F439" t="s">
        <v>2543</v>
      </c>
      <c r="G439" t="s">
        <v>587</v>
      </c>
      <c r="H439" t="s">
        <v>25</v>
      </c>
      <c r="I439" t="s">
        <v>26</v>
      </c>
      <c r="J439" t="s">
        <v>61</v>
      </c>
      <c r="K439" t="s">
        <v>61</v>
      </c>
      <c r="L439">
        <v>58695</v>
      </c>
      <c r="M439" t="s">
        <v>62</v>
      </c>
      <c r="N439" t="s">
        <v>2544</v>
      </c>
      <c r="O439" t="s">
        <v>30</v>
      </c>
      <c r="P439" t="s">
        <v>31</v>
      </c>
      <c r="Q439" t="s">
        <v>2545</v>
      </c>
      <c r="R439" t="s">
        <v>2546</v>
      </c>
      <c r="S439">
        <v>3</v>
      </c>
      <c r="T439" s="2">
        <v>0.15</v>
      </c>
      <c r="U439" t="s">
        <v>2547</v>
      </c>
      <c r="V439" t="str">
        <f>CHOOSE(MOD(SalesData[[#This Row],[Row ID]]-1,8)+1,"Aarav Sharma","Ananya Singh","Rohan Verma","Priya Gupta","Arjun Mehta","Neha Kapoor","Rahul Joshi","Sneha Patel")</f>
        <v>Sneha Patel</v>
      </c>
      <c r="W43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39" s="8">
        <f>IFERROR(VALUE(SUBSTITUTE(SUBSTITUTE(SalesData[[#This Row],[Profit]],"$",""),",",""))/VALUE(SUBSTITUTE(SUBSTITUTE(SalesData[[#This Row],[Sales]],"$",""),",","")),0)</f>
        <v>7.1871532084339704E-2</v>
      </c>
      <c r="Y439" s="6">
        <f>IFERROR(VALUE(SUBSTITUTE(SUBSTITUTE(SalesData[[#This Row],[Sales]],"$",""),",",""))/SalesData[[#This Row],[Quantity]],0)</f>
        <v>51.063333333333333</v>
      </c>
      <c r="Z439">
        <f>YEAR(SalesData[[#This Row],[Order Date]])</f>
        <v>2024</v>
      </c>
      <c r="AA439" t="str">
        <f>TEXT(SalesData[[#This Row],[Order Date]],"mmm")</f>
        <v>Mar</v>
      </c>
      <c r="AB43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40" spans="1:28">
      <c r="A440">
        <v>497</v>
      </c>
      <c r="B440" t="s">
        <v>2548</v>
      </c>
      <c r="C440" s="1">
        <v>45383</v>
      </c>
      <c r="D440" s="1">
        <v>45386</v>
      </c>
      <c r="E440" t="s">
        <v>36</v>
      </c>
      <c r="F440" t="s">
        <v>2549</v>
      </c>
      <c r="G440" t="s">
        <v>1259</v>
      </c>
      <c r="H440" t="s">
        <v>39</v>
      </c>
      <c r="I440" t="s">
        <v>26</v>
      </c>
      <c r="J440" t="s">
        <v>237</v>
      </c>
      <c r="K440" t="s">
        <v>237</v>
      </c>
      <c r="L440">
        <v>74182</v>
      </c>
      <c r="M440" t="s">
        <v>41</v>
      </c>
      <c r="N440" t="s">
        <v>2550</v>
      </c>
      <c r="O440" t="s">
        <v>64</v>
      </c>
      <c r="P440" t="s">
        <v>405</v>
      </c>
      <c r="Q440" t="s">
        <v>2551</v>
      </c>
      <c r="R440" t="s">
        <v>2552</v>
      </c>
      <c r="S440">
        <v>6</v>
      </c>
      <c r="T440" s="2">
        <v>0.15</v>
      </c>
      <c r="U440" t="s">
        <v>2553</v>
      </c>
      <c r="V440" t="str">
        <f>CHOOSE(MOD(SalesData[[#This Row],[Row ID]]-1,8)+1,"Aarav Sharma","Ananya Singh","Rohan Verma","Priya Gupta","Arjun Mehta","Neha Kapoor","Rahul Joshi","Sneha Patel")</f>
        <v>Aarav Sharma</v>
      </c>
      <c r="W44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40" s="8">
        <f>IFERROR(VALUE(SUBSTITUTE(SUBSTITUTE(SalesData[[#This Row],[Profit]],"$",""),",",""))/VALUE(SUBSTITUTE(SUBSTITUTE(SalesData[[#This Row],[Sales]],"$",""),",","")),0)</f>
        <v>0.15610930325859226</v>
      </c>
      <c r="Y440" s="6">
        <f>IFERROR(VALUE(SUBSTITUTE(SUBSTITUTE(SalesData[[#This Row],[Sales]],"$",""),",",""))/SalesData[[#This Row],[Quantity]],0)</f>
        <v>37.388333333333335</v>
      </c>
      <c r="Z440">
        <f>YEAR(SalesData[[#This Row],[Order Date]])</f>
        <v>2024</v>
      </c>
      <c r="AA440" t="str">
        <f>TEXT(SalesData[[#This Row],[Order Date]],"mmm")</f>
        <v>Apr</v>
      </c>
      <c r="AB44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41" spans="1:28">
      <c r="A441">
        <v>31</v>
      </c>
      <c r="B441" t="s">
        <v>2554</v>
      </c>
      <c r="C441" s="1">
        <v>45385</v>
      </c>
      <c r="D441" s="1">
        <v>45388</v>
      </c>
      <c r="E441" t="s">
        <v>36</v>
      </c>
      <c r="F441" t="s">
        <v>2555</v>
      </c>
      <c r="G441" t="s">
        <v>259</v>
      </c>
      <c r="H441" t="s">
        <v>60</v>
      </c>
      <c r="I441" t="s">
        <v>26</v>
      </c>
      <c r="J441" t="s">
        <v>150</v>
      </c>
      <c r="K441" t="s">
        <v>150</v>
      </c>
      <c r="L441">
        <v>48413</v>
      </c>
      <c r="M441" t="s">
        <v>73</v>
      </c>
      <c r="N441" t="s">
        <v>2556</v>
      </c>
      <c r="O441" t="s">
        <v>64</v>
      </c>
      <c r="P441" t="s">
        <v>105</v>
      </c>
      <c r="Q441" t="s">
        <v>2557</v>
      </c>
      <c r="R441" t="s">
        <v>2558</v>
      </c>
      <c r="S441">
        <v>5</v>
      </c>
      <c r="T441" s="2">
        <v>0.5</v>
      </c>
      <c r="U441" t="s">
        <v>2559</v>
      </c>
      <c r="V441" t="str">
        <f>CHOOSE(MOD(SalesData[[#This Row],[Row ID]]-1,8)+1,"Aarav Sharma","Ananya Singh","Rohan Verma","Priya Gupta","Arjun Mehta","Neha Kapoor","Rahul Joshi","Sneha Patel")</f>
        <v>Rahul Joshi</v>
      </c>
      <c r="W44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41" s="8">
        <f>IFERROR(VALUE(SUBSTITUTE(SUBSTITUTE(SalesData[[#This Row],[Profit]],"$",""),",",""))/VALUE(SUBSTITUTE(SUBSTITUTE(SalesData[[#This Row],[Sales]],"$",""),",","")),0)</f>
        <v>-7.5580861419781431E-2</v>
      </c>
      <c r="Y441" s="6">
        <f>IFERROR(VALUE(SUBSTITUTE(SUBSTITUTE(SalesData[[#This Row],[Sales]],"$",""),",",""))/SalesData[[#This Row],[Quantity]],0)</f>
        <v>21.777999999999999</v>
      </c>
      <c r="Z441">
        <f>YEAR(SalesData[[#This Row],[Order Date]])</f>
        <v>2024</v>
      </c>
      <c r="AA441" t="str">
        <f>TEXT(SalesData[[#This Row],[Order Date]],"mmm")</f>
        <v>Apr</v>
      </c>
      <c r="AB44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42" spans="1:28">
      <c r="A442">
        <v>305</v>
      </c>
      <c r="B442" t="s">
        <v>2560</v>
      </c>
      <c r="C442" s="1">
        <v>45393</v>
      </c>
      <c r="D442" s="1">
        <v>45395</v>
      </c>
      <c r="E442" t="s">
        <v>22</v>
      </c>
      <c r="F442" t="s">
        <v>2561</v>
      </c>
      <c r="G442" t="s">
        <v>851</v>
      </c>
      <c r="H442" t="s">
        <v>39</v>
      </c>
      <c r="I442" t="s">
        <v>26</v>
      </c>
      <c r="J442" t="s">
        <v>61</v>
      </c>
      <c r="K442" t="s">
        <v>61</v>
      </c>
      <c r="L442">
        <v>20400</v>
      </c>
      <c r="M442" t="s">
        <v>62</v>
      </c>
      <c r="N442" t="s">
        <v>2562</v>
      </c>
      <c r="O442" t="s">
        <v>30</v>
      </c>
      <c r="P442" t="s">
        <v>197</v>
      </c>
      <c r="Q442" t="s">
        <v>1872</v>
      </c>
      <c r="R442" t="s">
        <v>2563</v>
      </c>
      <c r="S442">
        <v>5</v>
      </c>
      <c r="T442" s="2">
        <v>0.1</v>
      </c>
      <c r="U442" t="s">
        <v>2564</v>
      </c>
      <c r="V442" t="str">
        <f>CHOOSE(MOD(SalesData[[#This Row],[Row ID]]-1,8)+1,"Aarav Sharma","Ananya Singh","Rohan Verma","Priya Gupta","Arjun Mehta","Neha Kapoor","Rahul Joshi","Sneha Patel")</f>
        <v>Aarav Sharma</v>
      </c>
      <c r="W44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42" s="8">
        <f>IFERROR(VALUE(SUBSTITUTE(SUBSTITUTE(SalesData[[#This Row],[Profit]],"$",""),",",""))/VALUE(SUBSTITUTE(SUBSTITUTE(SalesData[[#This Row],[Sales]],"$",""),",","")),0)</f>
        <v>5.5268918073796122E-2</v>
      </c>
      <c r="Y442" s="6">
        <f>IFERROR(VALUE(SUBSTITUTE(SUBSTITUTE(SalesData[[#This Row],[Sales]],"$",""),",",""))/SalesData[[#This Row],[Quantity]],0)</f>
        <v>51.167999999999999</v>
      </c>
      <c r="Z442">
        <f>YEAR(SalesData[[#This Row],[Order Date]])</f>
        <v>2024</v>
      </c>
      <c r="AA442" t="str">
        <f>TEXT(SalesData[[#This Row],[Order Date]],"mmm")</f>
        <v>Apr</v>
      </c>
      <c r="AB44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43" spans="1:28">
      <c r="A443">
        <v>155</v>
      </c>
      <c r="B443" t="s">
        <v>2565</v>
      </c>
      <c r="C443" s="1">
        <v>45394</v>
      </c>
      <c r="D443" s="1">
        <v>45396</v>
      </c>
      <c r="E443" t="s">
        <v>382</v>
      </c>
      <c r="F443" t="s">
        <v>2566</v>
      </c>
      <c r="G443" t="s">
        <v>851</v>
      </c>
      <c r="H443" t="s">
        <v>25</v>
      </c>
      <c r="I443" t="s">
        <v>26</v>
      </c>
      <c r="J443" t="s">
        <v>72</v>
      </c>
      <c r="K443" t="s">
        <v>72</v>
      </c>
      <c r="L443">
        <v>63161</v>
      </c>
      <c r="M443" t="s">
        <v>73</v>
      </c>
      <c r="N443" t="s">
        <v>2567</v>
      </c>
      <c r="O443" t="s">
        <v>30</v>
      </c>
      <c r="P443" t="s">
        <v>31</v>
      </c>
      <c r="Q443" t="s">
        <v>2568</v>
      </c>
      <c r="R443" t="s">
        <v>2569</v>
      </c>
      <c r="S443">
        <v>4</v>
      </c>
      <c r="T443" s="2">
        <v>0</v>
      </c>
      <c r="U443" t="s">
        <v>2570</v>
      </c>
      <c r="V443" t="str">
        <f>CHOOSE(MOD(SalesData[[#This Row],[Row ID]]-1,8)+1,"Aarav Sharma","Ananya Singh","Rohan Verma","Priya Gupta","Arjun Mehta","Neha Kapoor","Rahul Joshi","Sneha Patel")</f>
        <v>Rohan Verma</v>
      </c>
      <c r="W44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43" s="8">
        <f>IFERROR(VALUE(SUBSTITUTE(SUBSTITUTE(SalesData[[#This Row],[Profit]],"$",""),",",""))/VALUE(SUBSTITUTE(SUBSTITUTE(SalesData[[#This Row],[Sales]],"$",""),",","")),0)</f>
        <v>0.10539308773262439</v>
      </c>
      <c r="Y443" s="6">
        <f>IFERROR(VALUE(SUBSTITUTE(SUBSTITUTE(SalesData[[#This Row],[Sales]],"$",""),",",""))/SalesData[[#This Row],[Quantity]],0)</f>
        <v>13.164999999999999</v>
      </c>
      <c r="Z443">
        <f>YEAR(SalesData[[#This Row],[Order Date]])</f>
        <v>2024</v>
      </c>
      <c r="AA443" t="str">
        <f>TEXT(SalesData[[#This Row],[Order Date]],"mmm")</f>
        <v>Apr</v>
      </c>
      <c r="AB44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44" spans="1:28">
      <c r="A444">
        <v>330</v>
      </c>
      <c r="B444" t="s">
        <v>2571</v>
      </c>
      <c r="C444" s="1">
        <v>45394</v>
      </c>
      <c r="D444" s="1">
        <v>45396</v>
      </c>
      <c r="E444" t="s">
        <v>36</v>
      </c>
      <c r="F444" t="s">
        <v>2572</v>
      </c>
      <c r="G444" t="s">
        <v>882</v>
      </c>
      <c r="H444" t="s">
        <v>25</v>
      </c>
      <c r="I444" t="s">
        <v>26</v>
      </c>
      <c r="J444" t="s">
        <v>81</v>
      </c>
      <c r="K444" t="s">
        <v>81</v>
      </c>
      <c r="L444">
        <v>70289</v>
      </c>
      <c r="M444" t="s">
        <v>62</v>
      </c>
      <c r="N444" t="s">
        <v>465</v>
      </c>
      <c r="O444" t="s">
        <v>30</v>
      </c>
      <c r="P444" t="s">
        <v>120</v>
      </c>
      <c r="Q444" t="s">
        <v>2573</v>
      </c>
      <c r="R444" t="s">
        <v>2574</v>
      </c>
      <c r="S444">
        <v>5</v>
      </c>
      <c r="T444" s="2">
        <v>0.1</v>
      </c>
      <c r="U444" t="s">
        <v>2575</v>
      </c>
      <c r="V444" t="str">
        <f>CHOOSE(MOD(SalesData[[#This Row],[Row ID]]-1,8)+1,"Aarav Sharma","Ananya Singh","Rohan Verma","Priya Gupta","Arjun Mehta","Neha Kapoor","Rahul Joshi","Sneha Patel")</f>
        <v>Ananya Singh</v>
      </c>
      <c r="W44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44" s="8">
        <f>IFERROR(VALUE(SUBSTITUTE(SUBSTITUTE(SalesData[[#This Row],[Profit]],"$",""),",",""))/VALUE(SUBSTITUTE(SUBSTITUTE(SalesData[[#This Row],[Sales]],"$",""),",","")),0)</f>
        <v>0.10376100293411576</v>
      </c>
      <c r="Y444" s="6">
        <f>IFERROR(VALUE(SUBSTITUTE(SUBSTITUTE(SalesData[[#This Row],[Sales]],"$",""),",",""))/SalesData[[#This Row],[Quantity]],0)</f>
        <v>52.486000000000004</v>
      </c>
      <c r="Z444">
        <f>YEAR(SalesData[[#This Row],[Order Date]])</f>
        <v>2024</v>
      </c>
      <c r="AA444" t="str">
        <f>TEXT(SalesData[[#This Row],[Order Date]],"mmm")</f>
        <v>Apr</v>
      </c>
      <c r="AB44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45" spans="1:28">
      <c r="A445">
        <v>154</v>
      </c>
      <c r="B445" t="s">
        <v>2576</v>
      </c>
      <c r="C445" s="1">
        <v>45394</v>
      </c>
      <c r="D445" s="1">
        <v>45397</v>
      </c>
      <c r="E445" t="s">
        <v>49</v>
      </c>
      <c r="F445" t="s">
        <v>1428</v>
      </c>
      <c r="G445" t="s">
        <v>1938</v>
      </c>
      <c r="H445" t="s">
        <v>39</v>
      </c>
      <c r="I445" t="s">
        <v>26</v>
      </c>
      <c r="J445" t="s">
        <v>96</v>
      </c>
      <c r="K445" t="s">
        <v>96</v>
      </c>
      <c r="L445">
        <v>10929</v>
      </c>
      <c r="M445" t="s">
        <v>28</v>
      </c>
      <c r="N445" t="s">
        <v>2577</v>
      </c>
      <c r="O445" t="s">
        <v>43</v>
      </c>
      <c r="P445" t="s">
        <v>128</v>
      </c>
      <c r="Q445" t="s">
        <v>2578</v>
      </c>
      <c r="R445" t="s">
        <v>2579</v>
      </c>
      <c r="S445">
        <v>3</v>
      </c>
      <c r="T445" s="2">
        <v>0.1</v>
      </c>
      <c r="U445" t="s">
        <v>2580</v>
      </c>
      <c r="V445" t="str">
        <f>CHOOSE(MOD(SalesData[[#This Row],[Row ID]]-1,8)+1,"Aarav Sharma","Ananya Singh","Rohan Verma","Priya Gupta","Arjun Mehta","Neha Kapoor","Rahul Joshi","Sneha Patel")</f>
        <v>Ananya Singh</v>
      </c>
      <c r="W44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45" s="8">
        <f>IFERROR(VALUE(SUBSTITUTE(SUBSTITUTE(SalesData[[#This Row],[Profit]],"$",""),",",""))/VALUE(SUBSTITUTE(SUBSTITUTE(SalesData[[#This Row],[Sales]],"$",""),",","")),0)</f>
        <v>0.18995271141681508</v>
      </c>
      <c r="Y445" s="6">
        <f>IFERROR(VALUE(SUBSTITUTE(SUBSTITUTE(SalesData[[#This Row],[Sales]],"$",""),",",""))/SalesData[[#This Row],[Quantity]],0)</f>
        <v>54.276666666666671</v>
      </c>
      <c r="Z445">
        <f>YEAR(SalesData[[#This Row],[Order Date]])</f>
        <v>2024</v>
      </c>
      <c r="AA445" t="str">
        <f>TEXT(SalesData[[#This Row],[Order Date]],"mmm")</f>
        <v>Apr</v>
      </c>
      <c r="AB44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46" spans="1:28">
      <c r="A446">
        <v>436</v>
      </c>
      <c r="B446" t="s">
        <v>2581</v>
      </c>
      <c r="C446" s="1">
        <v>45394</v>
      </c>
      <c r="D446" s="1">
        <v>45399</v>
      </c>
      <c r="E446" t="s">
        <v>49</v>
      </c>
      <c r="F446" t="s">
        <v>2582</v>
      </c>
      <c r="G446" t="s">
        <v>1110</v>
      </c>
      <c r="H446" t="s">
        <v>60</v>
      </c>
      <c r="I446" t="s">
        <v>26</v>
      </c>
      <c r="J446" t="s">
        <v>229</v>
      </c>
      <c r="K446" t="s">
        <v>229</v>
      </c>
      <c r="L446">
        <v>61259</v>
      </c>
      <c r="M446" t="s">
        <v>73</v>
      </c>
      <c r="N446" t="s">
        <v>2583</v>
      </c>
      <c r="O446" t="s">
        <v>30</v>
      </c>
      <c r="P446" t="s">
        <v>222</v>
      </c>
      <c r="Q446" t="s">
        <v>934</v>
      </c>
      <c r="R446" t="s">
        <v>2584</v>
      </c>
      <c r="S446">
        <v>1</v>
      </c>
      <c r="T446" s="2">
        <v>0.15</v>
      </c>
      <c r="U446" t="s">
        <v>2585</v>
      </c>
      <c r="V446" t="str">
        <f>CHOOSE(MOD(SalesData[[#This Row],[Row ID]]-1,8)+1,"Aarav Sharma","Ananya Singh","Rohan Verma","Priya Gupta","Arjun Mehta","Neha Kapoor","Rahul Joshi","Sneha Patel")</f>
        <v>Priya Gupta</v>
      </c>
      <c r="W44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46" s="8">
        <f>IFERROR(VALUE(SUBSTITUTE(SUBSTITUTE(SalesData[[#This Row],[Profit]],"$",""),",",""))/VALUE(SUBSTITUTE(SUBSTITUTE(SalesData[[#This Row],[Sales]],"$",""),",","")),0)</f>
        <v>5.3562231759656652E-2</v>
      </c>
      <c r="Y446" s="6">
        <f>IFERROR(VALUE(SUBSTITUTE(SUBSTITUTE(SalesData[[#This Row],[Sales]],"$",""),",",""))/SalesData[[#This Row],[Quantity]],0)</f>
        <v>291.25</v>
      </c>
      <c r="Z446">
        <f>YEAR(SalesData[[#This Row],[Order Date]])</f>
        <v>2024</v>
      </c>
      <c r="AA446" t="str">
        <f>TEXT(SalesData[[#This Row],[Order Date]],"mmm")</f>
        <v>Apr</v>
      </c>
      <c r="AB44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47" spans="1:28">
      <c r="A447">
        <v>19</v>
      </c>
      <c r="B447" t="s">
        <v>2586</v>
      </c>
      <c r="C447" s="1">
        <v>45395</v>
      </c>
      <c r="D447" s="1">
        <v>45398</v>
      </c>
      <c r="E447" t="s">
        <v>382</v>
      </c>
      <c r="F447" t="s">
        <v>2587</v>
      </c>
      <c r="G447" t="s">
        <v>2122</v>
      </c>
      <c r="H447" t="s">
        <v>25</v>
      </c>
      <c r="I447" t="s">
        <v>26</v>
      </c>
      <c r="J447" t="s">
        <v>245</v>
      </c>
      <c r="K447" t="s">
        <v>245</v>
      </c>
      <c r="L447">
        <v>90135</v>
      </c>
      <c r="M447" t="s">
        <v>41</v>
      </c>
      <c r="N447" t="s">
        <v>2588</v>
      </c>
      <c r="O447" t="s">
        <v>30</v>
      </c>
      <c r="P447" t="s">
        <v>31</v>
      </c>
      <c r="Q447" t="s">
        <v>506</v>
      </c>
      <c r="R447" t="s">
        <v>2589</v>
      </c>
      <c r="S447">
        <v>1</v>
      </c>
      <c r="T447" s="2">
        <v>0</v>
      </c>
      <c r="U447" t="s">
        <v>2590</v>
      </c>
      <c r="V447" t="str">
        <f>CHOOSE(MOD(SalesData[[#This Row],[Row ID]]-1,8)+1,"Aarav Sharma","Ananya Singh","Rohan Verma","Priya Gupta","Arjun Mehta","Neha Kapoor","Rahul Joshi","Sneha Patel")</f>
        <v>Rohan Verma</v>
      </c>
      <c r="W44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47" s="8">
        <f>IFERROR(VALUE(SUBSTITUTE(SUBSTITUTE(SalesData[[#This Row],[Profit]],"$",""),",",""))/VALUE(SUBSTITUTE(SUBSTITUTE(SalesData[[#This Row],[Sales]],"$",""),",","")),0)</f>
        <v>0.12377779161736314</v>
      </c>
      <c r="Y447" s="6">
        <f>IFERROR(VALUE(SUBSTITUTE(SUBSTITUTE(SalesData[[#This Row],[Sales]],"$",""),",",""))/SalesData[[#This Row],[Quantity]],0)</f>
        <v>321.14</v>
      </c>
      <c r="Z447">
        <f>YEAR(SalesData[[#This Row],[Order Date]])</f>
        <v>2024</v>
      </c>
      <c r="AA447" t="str">
        <f>TEXT(SalesData[[#This Row],[Order Date]],"mmm")</f>
        <v>Apr</v>
      </c>
      <c r="AB44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48" spans="1:28">
      <c r="A448">
        <v>291</v>
      </c>
      <c r="B448" t="s">
        <v>2591</v>
      </c>
      <c r="C448" s="1">
        <v>45395</v>
      </c>
      <c r="D448" s="1">
        <v>45401</v>
      </c>
      <c r="E448" t="s">
        <v>49</v>
      </c>
      <c r="F448" t="s">
        <v>2592</v>
      </c>
      <c r="G448" t="s">
        <v>187</v>
      </c>
      <c r="H448" t="s">
        <v>25</v>
      </c>
      <c r="I448" t="s">
        <v>26</v>
      </c>
      <c r="J448" t="s">
        <v>52</v>
      </c>
      <c r="K448" t="s">
        <v>52</v>
      </c>
      <c r="L448">
        <v>95473</v>
      </c>
      <c r="M448" t="s">
        <v>41</v>
      </c>
      <c r="N448" t="s">
        <v>2593</v>
      </c>
      <c r="O448" t="s">
        <v>43</v>
      </c>
      <c r="P448" t="s">
        <v>214</v>
      </c>
      <c r="Q448" t="s">
        <v>215</v>
      </c>
      <c r="R448" t="s">
        <v>2594</v>
      </c>
      <c r="S448">
        <v>1</v>
      </c>
      <c r="T448" s="2">
        <v>0.05</v>
      </c>
      <c r="U448" t="s">
        <v>2595</v>
      </c>
      <c r="V448" t="str">
        <f>CHOOSE(MOD(SalesData[[#This Row],[Row ID]]-1,8)+1,"Aarav Sharma","Ananya Singh","Rohan Verma","Priya Gupta","Arjun Mehta","Neha Kapoor","Rahul Joshi","Sneha Patel")</f>
        <v>Rohan Verma</v>
      </c>
      <c r="W44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48" s="8">
        <f>IFERROR(VALUE(SUBSTITUTE(SUBSTITUTE(SalesData[[#This Row],[Profit]],"$",""),",",""))/VALUE(SUBSTITUTE(SUBSTITUTE(SalesData[[#This Row],[Sales]],"$",""),",","")),0)</f>
        <v>0.15275430888813787</v>
      </c>
      <c r="Y448" s="6">
        <f>IFERROR(VALUE(SUBSTITUTE(SUBSTITUTE(SalesData[[#This Row],[Sales]],"$",""),",",""))/SalesData[[#This Row],[Quantity]],0)</f>
        <v>29.59</v>
      </c>
      <c r="Z448">
        <f>YEAR(SalesData[[#This Row],[Order Date]])</f>
        <v>2024</v>
      </c>
      <c r="AA448" t="str">
        <f>TEXT(SalesData[[#This Row],[Order Date]],"mmm")</f>
        <v>Apr</v>
      </c>
      <c r="AB44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49" spans="1:28">
      <c r="A449">
        <v>127</v>
      </c>
      <c r="B449" t="s">
        <v>2596</v>
      </c>
      <c r="C449" s="1">
        <v>45398</v>
      </c>
      <c r="D449" s="1">
        <v>45400</v>
      </c>
      <c r="E449" t="s">
        <v>36</v>
      </c>
      <c r="F449" t="s">
        <v>2597</v>
      </c>
      <c r="G449" t="s">
        <v>554</v>
      </c>
      <c r="H449" t="s">
        <v>25</v>
      </c>
      <c r="I449" t="s">
        <v>26</v>
      </c>
      <c r="J449" t="s">
        <v>150</v>
      </c>
      <c r="K449" t="s">
        <v>150</v>
      </c>
      <c r="L449">
        <v>72812</v>
      </c>
      <c r="M449" t="s">
        <v>73</v>
      </c>
      <c r="N449" t="s">
        <v>2598</v>
      </c>
      <c r="O449" t="s">
        <v>64</v>
      </c>
      <c r="P449" t="s">
        <v>405</v>
      </c>
      <c r="Q449" t="s">
        <v>2599</v>
      </c>
      <c r="R449" t="s">
        <v>2600</v>
      </c>
      <c r="S449">
        <v>3</v>
      </c>
      <c r="T449" s="2">
        <v>0.05</v>
      </c>
      <c r="U449" t="s">
        <v>2601</v>
      </c>
      <c r="V449" t="str">
        <f>CHOOSE(MOD(SalesData[[#This Row],[Row ID]]-1,8)+1,"Aarav Sharma","Ananya Singh","Rohan Verma","Priya Gupta","Arjun Mehta","Neha Kapoor","Rahul Joshi","Sneha Patel")</f>
        <v>Rahul Joshi</v>
      </c>
      <c r="W44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49" s="8">
        <f>IFERROR(VALUE(SUBSTITUTE(SUBSTITUTE(SalesData[[#This Row],[Profit]],"$",""),",",""))/VALUE(SUBSTITUTE(SUBSTITUTE(SalesData[[#This Row],[Sales]],"$",""),",","")),0)</f>
        <v>0.26638847758783146</v>
      </c>
      <c r="Y449" s="6">
        <f>IFERROR(VALUE(SUBSTITUTE(SUBSTITUTE(SalesData[[#This Row],[Sales]],"$",""),",",""))/SalesData[[#This Row],[Quantity]],0)</f>
        <v>99.053333333333342</v>
      </c>
      <c r="Z449">
        <f>YEAR(SalesData[[#This Row],[Order Date]])</f>
        <v>2024</v>
      </c>
      <c r="AA449" t="str">
        <f>TEXT(SalesData[[#This Row],[Order Date]],"mmm")</f>
        <v>Apr</v>
      </c>
      <c r="AB44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50" spans="1:28">
      <c r="A450">
        <v>533</v>
      </c>
      <c r="B450" t="s">
        <v>2602</v>
      </c>
      <c r="C450" s="1">
        <v>45402</v>
      </c>
      <c r="D450" s="1">
        <v>45406</v>
      </c>
      <c r="E450" t="s">
        <v>36</v>
      </c>
      <c r="F450" t="s">
        <v>2603</v>
      </c>
      <c r="G450" t="s">
        <v>1123</v>
      </c>
      <c r="H450" t="s">
        <v>25</v>
      </c>
      <c r="I450" t="s">
        <v>26</v>
      </c>
      <c r="J450" t="s">
        <v>363</v>
      </c>
      <c r="K450" t="s">
        <v>363</v>
      </c>
      <c r="L450">
        <v>83228</v>
      </c>
      <c r="M450" t="s">
        <v>62</v>
      </c>
      <c r="N450" t="s">
        <v>1695</v>
      </c>
      <c r="O450" t="s">
        <v>43</v>
      </c>
      <c r="P450" t="s">
        <v>214</v>
      </c>
      <c r="Q450" t="s">
        <v>2437</v>
      </c>
      <c r="R450" t="s">
        <v>2604</v>
      </c>
      <c r="S450">
        <v>5</v>
      </c>
      <c r="T450" s="2">
        <v>0.15</v>
      </c>
      <c r="U450" t="s">
        <v>2605</v>
      </c>
      <c r="V450" t="str">
        <f>CHOOSE(MOD(SalesData[[#This Row],[Row ID]]-1,8)+1,"Aarav Sharma","Ananya Singh","Rohan Verma","Priya Gupta","Arjun Mehta","Neha Kapoor","Rahul Joshi","Sneha Patel")</f>
        <v>Arjun Mehta</v>
      </c>
      <c r="W45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50" s="8">
        <f>IFERROR(VALUE(SUBSTITUTE(SUBSTITUTE(SalesData[[#This Row],[Profit]],"$",""),",",""))/VALUE(SUBSTITUTE(SUBSTITUTE(SalesData[[#This Row],[Sales]],"$",""),",","")),0)</f>
        <v>0.1497502675704602</v>
      </c>
      <c r="Y450" s="6">
        <f>IFERROR(VALUE(SUBSTITUTE(SUBSTITUTE(SalesData[[#This Row],[Sales]],"$",""),",",""))/SalesData[[#This Row],[Quantity]],0)</f>
        <v>22.423999999999999</v>
      </c>
      <c r="Z450">
        <f>YEAR(SalesData[[#This Row],[Order Date]])</f>
        <v>2024</v>
      </c>
      <c r="AA450" t="str">
        <f>TEXT(SalesData[[#This Row],[Order Date]],"mmm")</f>
        <v>Apr</v>
      </c>
      <c r="AB45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51" spans="1:28">
      <c r="A451">
        <v>416</v>
      </c>
      <c r="B451" t="s">
        <v>2606</v>
      </c>
      <c r="C451" s="1">
        <v>45405</v>
      </c>
      <c r="D451" s="1">
        <v>45406</v>
      </c>
      <c r="E451" t="s">
        <v>382</v>
      </c>
      <c r="F451" t="s">
        <v>2607</v>
      </c>
      <c r="G451" t="s">
        <v>1012</v>
      </c>
      <c r="H451" t="s">
        <v>25</v>
      </c>
      <c r="I451" t="s">
        <v>26</v>
      </c>
      <c r="J451" t="s">
        <v>363</v>
      </c>
      <c r="K451" t="s">
        <v>363</v>
      </c>
      <c r="L451">
        <v>49601</v>
      </c>
      <c r="M451" t="s">
        <v>62</v>
      </c>
      <c r="N451" t="s">
        <v>2608</v>
      </c>
      <c r="O451" t="s">
        <v>43</v>
      </c>
      <c r="P451" t="s">
        <v>44</v>
      </c>
      <c r="Q451" t="s">
        <v>2499</v>
      </c>
      <c r="R451" t="s">
        <v>2609</v>
      </c>
      <c r="S451">
        <v>6</v>
      </c>
      <c r="T451" s="2">
        <v>0.2</v>
      </c>
      <c r="U451" t="s">
        <v>2610</v>
      </c>
      <c r="V451" t="str">
        <f>CHOOSE(MOD(SalesData[[#This Row],[Row ID]]-1,8)+1,"Aarav Sharma","Ananya Singh","Rohan Verma","Priya Gupta","Arjun Mehta","Neha Kapoor","Rahul Joshi","Sneha Patel")</f>
        <v>Sneha Patel</v>
      </c>
      <c r="W45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51" s="8">
        <f>IFERROR(VALUE(SUBSTITUTE(SUBSTITUTE(SalesData[[#This Row],[Profit]],"$",""),",",""))/VALUE(SUBSTITUTE(SUBSTITUTE(SalesData[[#This Row],[Sales]],"$",""),",","")),0)</f>
        <v>0.1201920155556906</v>
      </c>
      <c r="Y451" s="6">
        <f>IFERROR(VALUE(SUBSTITUTE(SUBSTITUTE(SalesData[[#This Row],[Sales]],"$",""),",",""))/SalesData[[#This Row],[Quantity]],0)</f>
        <v>27.428333333333331</v>
      </c>
      <c r="Z451">
        <f>YEAR(SalesData[[#This Row],[Order Date]])</f>
        <v>2024</v>
      </c>
      <c r="AA451" t="str">
        <f>TEXT(SalesData[[#This Row],[Order Date]],"mmm")</f>
        <v>Apr</v>
      </c>
      <c r="AB45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52" spans="1:28">
      <c r="A452">
        <v>367</v>
      </c>
      <c r="B452" t="s">
        <v>2611</v>
      </c>
      <c r="C452" s="1">
        <v>45406</v>
      </c>
      <c r="D452" s="1">
        <v>45408</v>
      </c>
      <c r="E452" t="s">
        <v>22</v>
      </c>
      <c r="F452" t="s">
        <v>2612</v>
      </c>
      <c r="G452" t="s">
        <v>713</v>
      </c>
      <c r="H452" t="s">
        <v>25</v>
      </c>
      <c r="I452" t="s">
        <v>26</v>
      </c>
      <c r="J452" t="s">
        <v>260</v>
      </c>
      <c r="K452" t="s">
        <v>260</v>
      </c>
      <c r="L452">
        <v>60755</v>
      </c>
      <c r="M452" t="s">
        <v>41</v>
      </c>
      <c r="N452" t="s">
        <v>2201</v>
      </c>
      <c r="O452" t="s">
        <v>64</v>
      </c>
      <c r="P452" t="s">
        <v>105</v>
      </c>
      <c r="Q452" t="s">
        <v>2613</v>
      </c>
      <c r="R452" t="s">
        <v>2614</v>
      </c>
      <c r="S452">
        <v>6</v>
      </c>
      <c r="T452" s="2">
        <v>0.4</v>
      </c>
      <c r="U452" t="s">
        <v>2615</v>
      </c>
      <c r="V452" t="str">
        <f>CHOOSE(MOD(SalesData[[#This Row],[Row ID]]-1,8)+1,"Aarav Sharma","Ananya Singh","Rohan Verma","Priya Gupta","Arjun Mehta","Neha Kapoor","Rahul Joshi","Sneha Patel")</f>
        <v>Rahul Joshi</v>
      </c>
      <c r="W45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52" s="8">
        <f>IFERROR(VALUE(SUBSTITUTE(SUBSTITUTE(SalesData[[#This Row],[Profit]],"$",""),",",""))/VALUE(SUBSTITUTE(SUBSTITUTE(SalesData[[#This Row],[Sales]],"$",""),",","")),0)</f>
        <v>-0.12952293155104863</v>
      </c>
      <c r="Y452" s="6">
        <f>IFERROR(VALUE(SUBSTITUTE(SUBSTITUTE(SalesData[[#This Row],[Sales]],"$",""),",",""))/SalesData[[#This Row],[Quantity]],0)</f>
        <v>21.694999999999997</v>
      </c>
      <c r="Z452">
        <f>YEAR(SalesData[[#This Row],[Order Date]])</f>
        <v>2024</v>
      </c>
      <c r="AA452" t="str">
        <f>TEXT(SalesData[[#This Row],[Order Date]],"mmm")</f>
        <v>Apr</v>
      </c>
      <c r="AB45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53" spans="1:28">
      <c r="A453">
        <v>195</v>
      </c>
      <c r="B453" t="s">
        <v>2616</v>
      </c>
      <c r="C453" s="1">
        <v>45407</v>
      </c>
      <c r="D453" s="1">
        <v>45410</v>
      </c>
      <c r="E453" t="s">
        <v>36</v>
      </c>
      <c r="F453" t="s">
        <v>2617</v>
      </c>
      <c r="G453" t="s">
        <v>1117</v>
      </c>
      <c r="H453" t="s">
        <v>25</v>
      </c>
      <c r="I453" t="s">
        <v>26</v>
      </c>
      <c r="J453" t="s">
        <v>212</v>
      </c>
      <c r="K453" t="s">
        <v>212</v>
      </c>
      <c r="L453">
        <v>91486</v>
      </c>
      <c r="M453" t="s">
        <v>28</v>
      </c>
      <c r="N453" t="s">
        <v>2618</v>
      </c>
      <c r="O453" t="s">
        <v>64</v>
      </c>
      <c r="P453" t="s">
        <v>136</v>
      </c>
      <c r="Q453" t="s">
        <v>2619</v>
      </c>
      <c r="R453" t="s">
        <v>2620</v>
      </c>
      <c r="S453">
        <v>6</v>
      </c>
      <c r="T453" s="2">
        <v>0.1</v>
      </c>
      <c r="U453" t="s">
        <v>2621</v>
      </c>
      <c r="V453" t="str">
        <f>CHOOSE(MOD(SalesData[[#This Row],[Row ID]]-1,8)+1,"Aarav Sharma","Ananya Singh","Rohan Verma","Priya Gupta","Arjun Mehta","Neha Kapoor","Rahul Joshi","Sneha Patel")</f>
        <v>Rohan Verma</v>
      </c>
      <c r="W45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53" s="8">
        <f>IFERROR(VALUE(SUBSTITUTE(SUBSTITUTE(SalesData[[#This Row],[Profit]],"$",""),",",""))/VALUE(SUBSTITUTE(SUBSTITUTE(SalesData[[#This Row],[Sales]],"$",""),",","")),0)</f>
        <v>0.19714738510301108</v>
      </c>
      <c r="Y453" s="6">
        <f>IFERROR(VALUE(SUBSTITUTE(SUBSTITUTE(SalesData[[#This Row],[Sales]],"$",""),",",""))/SalesData[[#This Row],[Quantity]],0)</f>
        <v>10.516666666666667</v>
      </c>
      <c r="Z453">
        <f>YEAR(SalesData[[#This Row],[Order Date]])</f>
        <v>2024</v>
      </c>
      <c r="AA453" t="str">
        <f>TEXT(SalesData[[#This Row],[Order Date]],"mmm")</f>
        <v>Apr</v>
      </c>
      <c r="AB45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54" spans="1:28">
      <c r="A454">
        <v>596</v>
      </c>
      <c r="B454" t="s">
        <v>2622</v>
      </c>
      <c r="C454" s="1">
        <v>45407</v>
      </c>
      <c r="D454" s="1">
        <v>45411</v>
      </c>
      <c r="E454" t="s">
        <v>36</v>
      </c>
      <c r="F454" t="s">
        <v>2623</v>
      </c>
      <c r="G454" t="s">
        <v>1063</v>
      </c>
      <c r="H454" t="s">
        <v>39</v>
      </c>
      <c r="I454" t="s">
        <v>26</v>
      </c>
      <c r="J454" t="s">
        <v>150</v>
      </c>
      <c r="K454" t="s">
        <v>150</v>
      </c>
      <c r="L454">
        <v>65692</v>
      </c>
      <c r="M454" t="s">
        <v>73</v>
      </c>
      <c r="N454" t="s">
        <v>2624</v>
      </c>
      <c r="O454" t="s">
        <v>64</v>
      </c>
      <c r="P454" t="s">
        <v>105</v>
      </c>
      <c r="Q454" t="s">
        <v>2625</v>
      </c>
      <c r="R454" t="s">
        <v>2626</v>
      </c>
      <c r="S454">
        <v>5</v>
      </c>
      <c r="T454" s="2">
        <v>0.2</v>
      </c>
      <c r="U454" t="s">
        <v>2627</v>
      </c>
      <c r="V454" t="str">
        <f>CHOOSE(MOD(SalesData[[#This Row],[Row ID]]-1,8)+1,"Aarav Sharma","Ananya Singh","Rohan Verma","Priya Gupta","Arjun Mehta","Neha Kapoor","Rahul Joshi","Sneha Patel")</f>
        <v>Priya Gupta</v>
      </c>
      <c r="W45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54" s="8">
        <f>IFERROR(VALUE(SUBSTITUTE(SUBSTITUTE(SalesData[[#This Row],[Profit]],"$",""),",",""))/VALUE(SUBSTITUTE(SUBSTITUTE(SalesData[[#This Row],[Sales]],"$",""),",","")),0)</f>
        <v>0.17658844834893847</v>
      </c>
      <c r="Y454" s="6">
        <f>IFERROR(VALUE(SUBSTITUTE(SUBSTITUTE(SalesData[[#This Row],[Sales]],"$",""),",",""))/SalesData[[#This Row],[Quantity]],0)</f>
        <v>51.905999999999992</v>
      </c>
      <c r="Z454">
        <f>YEAR(SalesData[[#This Row],[Order Date]])</f>
        <v>2024</v>
      </c>
      <c r="AA454" t="str">
        <f>TEXT(SalesData[[#This Row],[Order Date]],"mmm")</f>
        <v>Apr</v>
      </c>
      <c r="AB45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55" spans="1:28">
      <c r="A455">
        <v>597</v>
      </c>
      <c r="B455" t="s">
        <v>2628</v>
      </c>
      <c r="C455" s="1">
        <v>45408</v>
      </c>
      <c r="D455" s="1">
        <v>45412</v>
      </c>
      <c r="E455" t="s">
        <v>36</v>
      </c>
      <c r="F455" t="s">
        <v>2629</v>
      </c>
      <c r="G455" t="s">
        <v>118</v>
      </c>
      <c r="H455" t="s">
        <v>39</v>
      </c>
      <c r="I455" t="s">
        <v>26</v>
      </c>
      <c r="J455" t="s">
        <v>173</v>
      </c>
      <c r="K455" t="s">
        <v>173</v>
      </c>
      <c r="L455">
        <v>22569</v>
      </c>
      <c r="M455" t="s">
        <v>73</v>
      </c>
      <c r="N455" t="s">
        <v>2630</v>
      </c>
      <c r="O455" t="s">
        <v>64</v>
      </c>
      <c r="P455" t="s">
        <v>136</v>
      </c>
      <c r="Q455" t="s">
        <v>254</v>
      </c>
      <c r="R455" t="s">
        <v>2631</v>
      </c>
      <c r="S455">
        <v>7</v>
      </c>
      <c r="T455" s="2">
        <v>0.05</v>
      </c>
      <c r="U455" t="s">
        <v>2632</v>
      </c>
      <c r="V455" t="str">
        <f>CHOOSE(MOD(SalesData[[#This Row],[Row ID]]-1,8)+1,"Aarav Sharma","Ananya Singh","Rohan Verma","Priya Gupta","Arjun Mehta","Neha Kapoor","Rahul Joshi","Sneha Patel")</f>
        <v>Arjun Mehta</v>
      </c>
      <c r="W45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55" s="8">
        <f>IFERROR(VALUE(SUBSTITUTE(SUBSTITUTE(SalesData[[#This Row],[Profit]],"$",""),",",""))/VALUE(SUBSTITUTE(SUBSTITUTE(SalesData[[#This Row],[Sales]],"$",""),",","")),0)</f>
        <v>0.23444046281934713</v>
      </c>
      <c r="Y455" s="6">
        <f>IFERROR(VALUE(SUBSTITUTE(SUBSTITUTE(SalesData[[#This Row],[Sales]],"$",""),",",""))/SalesData[[#This Row],[Quantity]],0)</f>
        <v>80.13</v>
      </c>
      <c r="Z455">
        <f>YEAR(SalesData[[#This Row],[Order Date]])</f>
        <v>2024</v>
      </c>
      <c r="AA455" t="str">
        <f>TEXT(SalesData[[#This Row],[Order Date]],"mmm")</f>
        <v>Apr</v>
      </c>
      <c r="AB45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56" spans="1:28">
      <c r="A456">
        <v>231</v>
      </c>
      <c r="B456" t="s">
        <v>2633</v>
      </c>
      <c r="C456" s="1">
        <v>45410</v>
      </c>
      <c r="D456" s="1">
        <v>45414</v>
      </c>
      <c r="E456" t="s">
        <v>36</v>
      </c>
      <c r="F456" t="s">
        <v>2634</v>
      </c>
      <c r="G456" t="s">
        <v>952</v>
      </c>
      <c r="H456" t="s">
        <v>39</v>
      </c>
      <c r="I456" t="s">
        <v>26</v>
      </c>
      <c r="J456" t="s">
        <v>438</v>
      </c>
      <c r="K456" t="s">
        <v>438</v>
      </c>
      <c r="L456">
        <v>21151</v>
      </c>
      <c r="M456" t="s">
        <v>28</v>
      </c>
      <c r="N456" t="s">
        <v>2635</v>
      </c>
      <c r="O456" t="s">
        <v>43</v>
      </c>
      <c r="P456" t="s">
        <v>166</v>
      </c>
      <c r="Q456" t="s">
        <v>1847</v>
      </c>
      <c r="R456" t="s">
        <v>2636</v>
      </c>
      <c r="S456">
        <v>4</v>
      </c>
      <c r="T456" s="2">
        <v>0.2</v>
      </c>
      <c r="U456" t="s">
        <v>2637</v>
      </c>
      <c r="V456" t="str">
        <f>CHOOSE(MOD(SalesData[[#This Row],[Row ID]]-1,8)+1,"Aarav Sharma","Ananya Singh","Rohan Verma","Priya Gupta","Arjun Mehta","Neha Kapoor","Rahul Joshi","Sneha Patel")</f>
        <v>Rahul Joshi</v>
      </c>
      <c r="W45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56" s="8">
        <f>IFERROR(VALUE(SUBSTITUTE(SUBSTITUTE(SalesData[[#This Row],[Profit]],"$",""),",",""))/VALUE(SUBSTITUTE(SUBSTITUTE(SalesData[[#This Row],[Sales]],"$",""),",","")),0)</f>
        <v>2.8929135772456545E-2</v>
      </c>
      <c r="Y456" s="6">
        <f>IFERROR(VALUE(SUBSTITUTE(SUBSTITUTE(SalesData[[#This Row],[Sales]],"$",""),",",""))/SalesData[[#This Row],[Quantity]],0)</f>
        <v>20.567499999999999</v>
      </c>
      <c r="Z456">
        <f>YEAR(SalesData[[#This Row],[Order Date]])</f>
        <v>2024</v>
      </c>
      <c r="AA456" t="str">
        <f>TEXT(SalesData[[#This Row],[Order Date]],"mmm")</f>
        <v>Apr</v>
      </c>
      <c r="AB45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57" spans="1:28">
      <c r="A457">
        <v>150</v>
      </c>
      <c r="B457" t="s">
        <v>2638</v>
      </c>
      <c r="C457" s="1">
        <v>45411</v>
      </c>
      <c r="D457" s="1">
        <v>45413</v>
      </c>
      <c r="E457" t="s">
        <v>36</v>
      </c>
      <c r="F457" t="s">
        <v>2639</v>
      </c>
      <c r="G457" t="s">
        <v>300</v>
      </c>
      <c r="H457" t="s">
        <v>25</v>
      </c>
      <c r="I457" t="s">
        <v>26</v>
      </c>
      <c r="J457" t="s">
        <v>27</v>
      </c>
      <c r="K457" t="s">
        <v>27</v>
      </c>
      <c r="L457">
        <v>96120</v>
      </c>
      <c r="M457" t="s">
        <v>28</v>
      </c>
      <c r="N457" t="s">
        <v>2640</v>
      </c>
      <c r="O457" t="s">
        <v>43</v>
      </c>
      <c r="P457" t="s">
        <v>83</v>
      </c>
      <c r="Q457" t="s">
        <v>1658</v>
      </c>
      <c r="R457" t="s">
        <v>2641</v>
      </c>
      <c r="S457">
        <v>1</v>
      </c>
      <c r="T457" s="2">
        <v>0</v>
      </c>
      <c r="U457" t="s">
        <v>2642</v>
      </c>
      <c r="V457" t="str">
        <f>CHOOSE(MOD(SalesData[[#This Row],[Row ID]]-1,8)+1,"Aarav Sharma","Ananya Singh","Rohan Verma","Priya Gupta","Arjun Mehta","Neha Kapoor","Rahul Joshi","Sneha Patel")</f>
        <v>Neha Kapoor</v>
      </c>
      <c r="W45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57" s="8">
        <f>IFERROR(VALUE(SUBSTITUTE(SUBSTITUTE(SalesData[[#This Row],[Profit]],"$",""),",",""))/VALUE(SUBSTITUTE(SUBSTITUTE(SalesData[[#This Row],[Sales]],"$",""),",","")),0)</f>
        <v>0.20483624838596079</v>
      </c>
      <c r="Y457" s="6">
        <f>IFERROR(VALUE(SUBSTITUTE(SUBSTITUTE(SalesData[[#This Row],[Sales]],"$",""),",",""))/SalesData[[#This Row],[Quantity]],0)</f>
        <v>85.19</v>
      </c>
      <c r="Z457">
        <f>YEAR(SalesData[[#This Row],[Order Date]])</f>
        <v>2024</v>
      </c>
      <c r="AA457" t="str">
        <f>TEXT(SalesData[[#This Row],[Order Date]],"mmm")</f>
        <v>Apr</v>
      </c>
      <c r="AB45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58" spans="1:28">
      <c r="A458">
        <v>325</v>
      </c>
      <c r="B458" t="s">
        <v>2643</v>
      </c>
      <c r="C458" s="1">
        <v>45411</v>
      </c>
      <c r="D458" s="1">
        <v>45415</v>
      </c>
      <c r="E458" t="s">
        <v>36</v>
      </c>
      <c r="F458" t="s">
        <v>2644</v>
      </c>
      <c r="G458" t="s">
        <v>445</v>
      </c>
      <c r="H458" t="s">
        <v>39</v>
      </c>
      <c r="I458" t="s">
        <v>26</v>
      </c>
      <c r="J458" t="s">
        <v>157</v>
      </c>
      <c r="K458" t="s">
        <v>157</v>
      </c>
      <c r="L458">
        <v>76275</v>
      </c>
      <c r="M458" t="s">
        <v>62</v>
      </c>
      <c r="N458" t="s">
        <v>2645</v>
      </c>
      <c r="O458" t="s">
        <v>30</v>
      </c>
      <c r="P458" t="s">
        <v>197</v>
      </c>
      <c r="Q458" t="s">
        <v>2052</v>
      </c>
      <c r="R458" t="s">
        <v>2646</v>
      </c>
      <c r="S458">
        <v>1</v>
      </c>
      <c r="T458" s="2">
        <v>0.2</v>
      </c>
      <c r="U458" t="s">
        <v>2647</v>
      </c>
      <c r="V458" t="str">
        <f>CHOOSE(MOD(SalesData[[#This Row],[Row ID]]-1,8)+1,"Aarav Sharma","Ananya Singh","Rohan Verma","Priya Gupta","Arjun Mehta","Neha Kapoor","Rahul Joshi","Sneha Patel")</f>
        <v>Arjun Mehta</v>
      </c>
      <c r="W45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58" s="8">
        <f>IFERROR(VALUE(SUBSTITUTE(SUBSTITUTE(SalesData[[#This Row],[Profit]],"$",""),",",""))/VALUE(SUBSTITUTE(SUBSTITUTE(SalesData[[#This Row],[Sales]],"$",""),",","")),0)</f>
        <v>0.16685421073952381</v>
      </c>
      <c r="Y458" s="6">
        <f>IFERROR(VALUE(SUBSTITUTE(SUBSTITUTE(SalesData[[#This Row],[Sales]],"$",""),",",""))/SalesData[[#This Row],[Quantity]],0)</f>
        <v>222.17</v>
      </c>
      <c r="Z458">
        <f>YEAR(SalesData[[#This Row],[Order Date]])</f>
        <v>2024</v>
      </c>
      <c r="AA458" t="str">
        <f>TEXT(SalesData[[#This Row],[Order Date]],"mmm")</f>
        <v>Apr</v>
      </c>
      <c r="AB45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59" spans="1:28">
      <c r="A459">
        <v>60</v>
      </c>
      <c r="B459" t="s">
        <v>2648</v>
      </c>
      <c r="C459" s="1">
        <v>45415</v>
      </c>
      <c r="D459" s="1">
        <v>45419</v>
      </c>
      <c r="E459" t="s">
        <v>36</v>
      </c>
      <c r="F459" t="s">
        <v>2649</v>
      </c>
      <c r="G459" t="s">
        <v>211</v>
      </c>
      <c r="H459" t="s">
        <v>60</v>
      </c>
      <c r="I459" t="s">
        <v>26</v>
      </c>
      <c r="J459" t="s">
        <v>173</v>
      </c>
      <c r="K459" t="s">
        <v>173</v>
      </c>
      <c r="L459">
        <v>61693</v>
      </c>
      <c r="M459" t="s">
        <v>73</v>
      </c>
      <c r="N459" t="s">
        <v>398</v>
      </c>
      <c r="O459" t="s">
        <v>64</v>
      </c>
      <c r="P459" t="s">
        <v>105</v>
      </c>
      <c r="Q459" t="s">
        <v>269</v>
      </c>
      <c r="R459" t="s">
        <v>2650</v>
      </c>
      <c r="S459">
        <v>2</v>
      </c>
      <c r="T459" s="2">
        <v>0.2</v>
      </c>
      <c r="U459" t="s">
        <v>2651</v>
      </c>
      <c r="V459" t="str">
        <f>CHOOSE(MOD(SalesData[[#This Row],[Row ID]]-1,8)+1,"Aarav Sharma","Ananya Singh","Rohan Verma","Priya Gupta","Arjun Mehta","Neha Kapoor","Rahul Joshi","Sneha Patel")</f>
        <v>Priya Gupta</v>
      </c>
      <c r="W45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59" s="8">
        <f>IFERROR(VALUE(SUBSTITUTE(SUBSTITUTE(SalesData[[#This Row],[Profit]],"$",""),",",""))/VALUE(SUBSTITUTE(SUBSTITUTE(SalesData[[#This Row],[Sales]],"$",""),",","")),0)</f>
        <v>1.9723354619789333E-2</v>
      </c>
      <c r="Y459" s="6">
        <f>IFERROR(VALUE(SUBSTITUTE(SUBSTITUTE(SalesData[[#This Row],[Sales]],"$",""),",",""))/SalesData[[#This Row],[Quantity]],0)</f>
        <v>424.37</v>
      </c>
      <c r="Z459">
        <f>YEAR(SalesData[[#This Row],[Order Date]])</f>
        <v>2024</v>
      </c>
      <c r="AA459" t="str">
        <f>TEXT(SalesData[[#This Row],[Order Date]],"mmm")</f>
        <v>May</v>
      </c>
      <c r="AB45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60" spans="1:28">
      <c r="A460">
        <v>348</v>
      </c>
      <c r="B460" t="s">
        <v>2652</v>
      </c>
      <c r="C460" s="1">
        <v>45415</v>
      </c>
      <c r="D460" s="1">
        <v>45418</v>
      </c>
      <c r="E460" t="s">
        <v>36</v>
      </c>
      <c r="F460" t="s">
        <v>2653</v>
      </c>
      <c r="G460" t="s">
        <v>126</v>
      </c>
      <c r="H460" t="s">
        <v>60</v>
      </c>
      <c r="I460" t="s">
        <v>26</v>
      </c>
      <c r="J460" t="s">
        <v>363</v>
      </c>
      <c r="K460" t="s">
        <v>363</v>
      </c>
      <c r="L460">
        <v>41213</v>
      </c>
      <c r="M460" t="s">
        <v>62</v>
      </c>
      <c r="N460" t="s">
        <v>2654</v>
      </c>
      <c r="O460" t="s">
        <v>30</v>
      </c>
      <c r="P460" t="s">
        <v>120</v>
      </c>
      <c r="Q460" t="s">
        <v>2117</v>
      </c>
      <c r="R460" t="s">
        <v>2655</v>
      </c>
      <c r="S460">
        <v>6</v>
      </c>
      <c r="T460" s="2">
        <v>0.4</v>
      </c>
      <c r="U460" t="s">
        <v>2656</v>
      </c>
      <c r="V460" t="str">
        <f>CHOOSE(MOD(SalesData[[#This Row],[Row ID]]-1,8)+1,"Aarav Sharma","Ananya Singh","Rohan Verma","Priya Gupta","Arjun Mehta","Neha Kapoor","Rahul Joshi","Sneha Patel")</f>
        <v>Priya Gupta</v>
      </c>
      <c r="W46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60" s="8">
        <f>IFERROR(VALUE(SUBSTITUTE(SUBSTITUTE(SalesData[[#This Row],[Profit]],"$",""),",",""))/VALUE(SUBSTITUTE(SUBSTITUTE(SalesData[[#This Row],[Sales]],"$",""),",","")),0)</f>
        <v>-0.1748799008213234</v>
      </c>
      <c r="Y460" s="6">
        <f>IFERROR(VALUE(SUBSTITUTE(SUBSTITUTE(SalesData[[#This Row],[Sales]],"$",""),",",""))/SalesData[[#This Row],[Quantity]],0)</f>
        <v>43.02</v>
      </c>
      <c r="Z460">
        <f>YEAR(SalesData[[#This Row],[Order Date]])</f>
        <v>2024</v>
      </c>
      <c r="AA460" t="str">
        <f>TEXT(SalesData[[#This Row],[Order Date]],"mmm")</f>
        <v>May</v>
      </c>
      <c r="AB46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61" spans="1:28">
      <c r="A461">
        <v>515</v>
      </c>
      <c r="B461" t="s">
        <v>2657</v>
      </c>
      <c r="C461" s="1">
        <v>45416</v>
      </c>
      <c r="D461" s="1">
        <v>45421</v>
      </c>
      <c r="E461" t="s">
        <v>36</v>
      </c>
      <c r="F461" t="s">
        <v>2658</v>
      </c>
      <c r="G461" t="s">
        <v>626</v>
      </c>
      <c r="H461" t="s">
        <v>39</v>
      </c>
      <c r="I461" t="s">
        <v>26</v>
      </c>
      <c r="J461" t="s">
        <v>204</v>
      </c>
      <c r="K461" t="s">
        <v>204</v>
      </c>
      <c r="L461">
        <v>43690</v>
      </c>
      <c r="M461" t="s">
        <v>28</v>
      </c>
      <c r="N461" t="s">
        <v>2659</v>
      </c>
      <c r="O461" t="s">
        <v>64</v>
      </c>
      <c r="P461" t="s">
        <v>136</v>
      </c>
      <c r="Q461" t="s">
        <v>2660</v>
      </c>
      <c r="R461" t="s">
        <v>2661</v>
      </c>
      <c r="S461">
        <v>4</v>
      </c>
      <c r="T461" s="2">
        <v>0.05</v>
      </c>
      <c r="U461" t="s">
        <v>2662</v>
      </c>
      <c r="V461" t="str">
        <f>CHOOSE(MOD(SalesData[[#This Row],[Row ID]]-1,8)+1,"Aarav Sharma","Ananya Singh","Rohan Verma","Priya Gupta","Arjun Mehta","Neha Kapoor","Rahul Joshi","Sneha Patel")</f>
        <v>Rohan Verma</v>
      </c>
      <c r="W46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61" s="8">
        <f>IFERROR(VALUE(SUBSTITUTE(SUBSTITUTE(SalesData[[#This Row],[Profit]],"$",""),",",""))/VALUE(SUBSTITUTE(SUBSTITUTE(SalesData[[#This Row],[Sales]],"$",""),",","")),0)</f>
        <v>0.18835598045007787</v>
      </c>
      <c r="Y461" s="6">
        <f>IFERROR(VALUE(SUBSTITUTE(SUBSTITUTE(SalesData[[#This Row],[Sales]],"$",""),",",""))/SalesData[[#This Row],[Quantity]],0)</f>
        <v>46.547499999999999</v>
      </c>
      <c r="Z461">
        <f>YEAR(SalesData[[#This Row],[Order Date]])</f>
        <v>2024</v>
      </c>
      <c r="AA461" t="str">
        <f>TEXT(SalesData[[#This Row],[Order Date]],"mmm")</f>
        <v>May</v>
      </c>
      <c r="AB46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62" spans="1:28">
      <c r="A462">
        <v>101</v>
      </c>
      <c r="B462" t="s">
        <v>2663</v>
      </c>
      <c r="C462" s="1">
        <v>45418</v>
      </c>
      <c r="D462" s="1">
        <v>45420</v>
      </c>
      <c r="E462" t="s">
        <v>36</v>
      </c>
      <c r="F462" t="s">
        <v>2664</v>
      </c>
      <c r="G462" t="s">
        <v>142</v>
      </c>
      <c r="H462" t="s">
        <v>39</v>
      </c>
      <c r="I462" t="s">
        <v>26</v>
      </c>
      <c r="J462" t="s">
        <v>96</v>
      </c>
      <c r="K462" t="s">
        <v>96</v>
      </c>
      <c r="L462">
        <v>67993</v>
      </c>
      <c r="M462" t="s">
        <v>28</v>
      </c>
      <c r="N462" t="s">
        <v>2665</v>
      </c>
      <c r="O462" t="s">
        <v>30</v>
      </c>
      <c r="P462" t="s">
        <v>222</v>
      </c>
      <c r="Q462" t="s">
        <v>1183</v>
      </c>
      <c r="R462" t="s">
        <v>2666</v>
      </c>
      <c r="S462">
        <v>6</v>
      </c>
      <c r="T462" s="2">
        <v>0</v>
      </c>
      <c r="U462" t="s">
        <v>2667</v>
      </c>
      <c r="V462" t="str">
        <f>CHOOSE(MOD(SalesData[[#This Row],[Row ID]]-1,8)+1,"Aarav Sharma","Ananya Singh","Rohan Verma","Priya Gupta","Arjun Mehta","Neha Kapoor","Rahul Joshi","Sneha Patel")</f>
        <v>Arjun Mehta</v>
      </c>
      <c r="W46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62" s="8">
        <f>IFERROR(VALUE(SUBSTITUTE(SUBSTITUTE(SalesData[[#This Row],[Profit]],"$",""),",",""))/VALUE(SUBSTITUTE(SUBSTITUTE(SalesData[[#This Row],[Sales]],"$",""),",","")),0)</f>
        <v>0.20418333684284412</v>
      </c>
      <c r="Y462" s="6">
        <f>IFERROR(VALUE(SUBSTITUTE(SUBSTITUTE(SalesData[[#This Row],[Sales]],"$",""),",",""))/SalesData[[#This Row],[Quantity]],0)</f>
        <v>23.745000000000001</v>
      </c>
      <c r="Z462">
        <f>YEAR(SalesData[[#This Row],[Order Date]])</f>
        <v>2024</v>
      </c>
      <c r="AA462" t="str">
        <f>TEXT(SalesData[[#This Row],[Order Date]],"mmm")</f>
        <v>May</v>
      </c>
      <c r="AB46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63" spans="1:28">
      <c r="A463">
        <v>251</v>
      </c>
      <c r="B463" t="s">
        <v>2668</v>
      </c>
      <c r="C463" s="1">
        <v>45419</v>
      </c>
      <c r="D463" s="1">
        <v>45421</v>
      </c>
      <c r="E463" t="s">
        <v>36</v>
      </c>
      <c r="F463" t="s">
        <v>2669</v>
      </c>
      <c r="G463" t="s">
        <v>1503</v>
      </c>
      <c r="H463" t="s">
        <v>25</v>
      </c>
      <c r="I463" t="s">
        <v>26</v>
      </c>
      <c r="J463" t="s">
        <v>72</v>
      </c>
      <c r="K463" t="s">
        <v>72</v>
      </c>
      <c r="L463">
        <v>85209</v>
      </c>
      <c r="M463" t="s">
        <v>73</v>
      </c>
      <c r="N463" t="s">
        <v>2670</v>
      </c>
      <c r="O463" t="s">
        <v>43</v>
      </c>
      <c r="P463" t="s">
        <v>166</v>
      </c>
      <c r="Q463" t="s">
        <v>2671</v>
      </c>
      <c r="R463" t="s">
        <v>2672</v>
      </c>
      <c r="S463">
        <v>7</v>
      </c>
      <c r="T463" s="2">
        <v>0.05</v>
      </c>
      <c r="U463" t="s">
        <v>2673</v>
      </c>
      <c r="V463" t="str">
        <f>CHOOSE(MOD(SalesData[[#This Row],[Row ID]]-1,8)+1,"Aarav Sharma","Ananya Singh","Rohan Verma","Priya Gupta","Arjun Mehta","Neha Kapoor","Rahul Joshi","Sneha Patel")</f>
        <v>Rohan Verma</v>
      </c>
      <c r="W46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63" s="8">
        <f>IFERROR(VALUE(SUBSTITUTE(SUBSTITUTE(SalesData[[#This Row],[Profit]],"$",""),",",""))/VALUE(SUBSTITUTE(SUBSTITUTE(SalesData[[#This Row],[Sales]],"$",""),",","")),0)</f>
        <v>0.2177401865105183</v>
      </c>
      <c r="Y463" s="6">
        <f>IFERROR(VALUE(SUBSTITUTE(SUBSTITUTE(SalesData[[#This Row],[Sales]],"$",""),",",""))/SalesData[[#This Row],[Quantity]],0)</f>
        <v>6.5871428571428572</v>
      </c>
      <c r="Z463">
        <f>YEAR(SalesData[[#This Row],[Order Date]])</f>
        <v>2024</v>
      </c>
      <c r="AA463" t="str">
        <f>TEXT(SalesData[[#This Row],[Order Date]],"mmm")</f>
        <v>May</v>
      </c>
      <c r="AB46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64" spans="1:28">
      <c r="A464">
        <v>428</v>
      </c>
      <c r="B464" t="s">
        <v>2674</v>
      </c>
      <c r="C464" s="1">
        <v>45419</v>
      </c>
      <c r="D464" s="1">
        <v>45421</v>
      </c>
      <c r="E464" t="s">
        <v>49</v>
      </c>
      <c r="F464" t="s">
        <v>2675</v>
      </c>
      <c r="G464" t="s">
        <v>432</v>
      </c>
      <c r="H464" t="s">
        <v>39</v>
      </c>
      <c r="I464" t="s">
        <v>26</v>
      </c>
      <c r="J464" t="s">
        <v>438</v>
      </c>
      <c r="K464" t="s">
        <v>438</v>
      </c>
      <c r="L464">
        <v>15574</v>
      </c>
      <c r="M464" t="s">
        <v>28</v>
      </c>
      <c r="N464" t="s">
        <v>2676</v>
      </c>
      <c r="O464" t="s">
        <v>30</v>
      </c>
      <c r="P464" t="s">
        <v>31</v>
      </c>
      <c r="Q464" t="s">
        <v>739</v>
      </c>
      <c r="R464" t="s">
        <v>2677</v>
      </c>
      <c r="S464">
        <v>4</v>
      </c>
      <c r="T464" s="2">
        <v>0.1</v>
      </c>
      <c r="U464" t="s">
        <v>515</v>
      </c>
      <c r="V464" t="str">
        <f>CHOOSE(MOD(SalesData[[#This Row],[Row ID]]-1,8)+1,"Aarav Sharma","Ananya Singh","Rohan Verma","Priya Gupta","Arjun Mehta","Neha Kapoor","Rahul Joshi","Sneha Patel")</f>
        <v>Priya Gupta</v>
      </c>
      <c r="W46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64" s="8">
        <f>IFERROR(VALUE(SUBSTITUTE(SUBSTITUTE(SalesData[[#This Row],[Profit]],"$",""),",",""))/VALUE(SUBSTITUTE(SUBSTITUTE(SalesData[[#This Row],[Sales]],"$",""),",","")),0)</f>
        <v>7.0706470028544244E-2</v>
      </c>
      <c r="Y464" s="6">
        <f>IFERROR(VALUE(SUBSTITUTE(SUBSTITUTE(SalesData[[#This Row],[Sales]],"$",""),",",""))/SalesData[[#This Row],[Quantity]],0)</f>
        <v>42.04</v>
      </c>
      <c r="Z464">
        <f>YEAR(SalesData[[#This Row],[Order Date]])</f>
        <v>2024</v>
      </c>
      <c r="AA464" t="str">
        <f>TEXT(SalesData[[#This Row],[Order Date]],"mmm")</f>
        <v>May</v>
      </c>
      <c r="AB46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65" spans="1:28">
      <c r="A465">
        <v>337</v>
      </c>
      <c r="B465" t="s">
        <v>2678</v>
      </c>
      <c r="C465" s="1">
        <v>45420</v>
      </c>
      <c r="D465" s="1">
        <v>45425</v>
      </c>
      <c r="E465" t="s">
        <v>36</v>
      </c>
      <c r="F465" t="s">
        <v>2679</v>
      </c>
      <c r="G465" t="s">
        <v>187</v>
      </c>
      <c r="H465" t="s">
        <v>25</v>
      </c>
      <c r="I465" t="s">
        <v>26</v>
      </c>
      <c r="J465" t="s">
        <v>641</v>
      </c>
      <c r="K465" t="s">
        <v>641</v>
      </c>
      <c r="L465">
        <v>51950</v>
      </c>
      <c r="M465" t="s">
        <v>62</v>
      </c>
      <c r="N465" t="s">
        <v>2680</v>
      </c>
      <c r="O465" t="s">
        <v>64</v>
      </c>
      <c r="P465" t="s">
        <v>405</v>
      </c>
      <c r="Q465" t="s">
        <v>2681</v>
      </c>
      <c r="R465" t="s">
        <v>2682</v>
      </c>
      <c r="S465">
        <v>1</v>
      </c>
      <c r="T465" s="2">
        <v>0.15</v>
      </c>
      <c r="U465" t="s">
        <v>1988</v>
      </c>
      <c r="V465" t="str">
        <f>CHOOSE(MOD(SalesData[[#This Row],[Row ID]]-1,8)+1,"Aarav Sharma","Ananya Singh","Rohan Verma","Priya Gupta","Arjun Mehta","Neha Kapoor","Rahul Joshi","Sneha Patel")</f>
        <v>Aarav Sharma</v>
      </c>
      <c r="W46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65" s="8">
        <f>IFERROR(VALUE(SUBSTITUTE(SUBSTITUTE(SalesData[[#This Row],[Profit]],"$",""),",",""))/VALUE(SUBSTITUTE(SUBSTITUTE(SalesData[[#This Row],[Sales]],"$",""),",","")),0)</f>
        <v>0.17781764457577037</v>
      </c>
      <c r="Y465" s="6">
        <f>IFERROR(VALUE(SUBSTITUTE(SUBSTITUTE(SalesData[[#This Row],[Sales]],"$",""),",",""))/SalesData[[#This Row],[Quantity]],0)</f>
        <v>94.76</v>
      </c>
      <c r="Z465">
        <f>YEAR(SalesData[[#This Row],[Order Date]])</f>
        <v>2024</v>
      </c>
      <c r="AA465" t="str">
        <f>TEXT(SalesData[[#This Row],[Order Date]],"mmm")</f>
        <v>May</v>
      </c>
      <c r="AB46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66" spans="1:28">
      <c r="A466">
        <v>462</v>
      </c>
      <c r="B466" t="s">
        <v>2683</v>
      </c>
      <c r="C466" s="1">
        <v>45421</v>
      </c>
      <c r="D466" s="1">
        <v>45423</v>
      </c>
      <c r="E466" t="s">
        <v>49</v>
      </c>
      <c r="F466" t="s">
        <v>2684</v>
      </c>
      <c r="G466" t="s">
        <v>1850</v>
      </c>
      <c r="H466" t="s">
        <v>25</v>
      </c>
      <c r="I466" t="s">
        <v>26</v>
      </c>
      <c r="J466" t="s">
        <v>229</v>
      </c>
      <c r="K466" t="s">
        <v>229</v>
      </c>
      <c r="L466">
        <v>74555</v>
      </c>
      <c r="M466" t="s">
        <v>73</v>
      </c>
      <c r="N466" t="s">
        <v>2685</v>
      </c>
      <c r="O466" t="s">
        <v>43</v>
      </c>
      <c r="P466" t="s">
        <v>83</v>
      </c>
      <c r="Q466" t="s">
        <v>1065</v>
      </c>
      <c r="R466" t="s">
        <v>2686</v>
      </c>
      <c r="S466">
        <v>2</v>
      </c>
      <c r="T466" s="2">
        <v>0.05</v>
      </c>
      <c r="U466" t="s">
        <v>2687</v>
      </c>
      <c r="V466" t="str">
        <f>CHOOSE(MOD(SalesData[[#This Row],[Row ID]]-1,8)+1,"Aarav Sharma","Ananya Singh","Rohan Verma","Priya Gupta","Arjun Mehta","Neha Kapoor","Rahul Joshi","Sneha Patel")</f>
        <v>Neha Kapoor</v>
      </c>
      <c r="W46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66" s="8">
        <f>IFERROR(VALUE(SUBSTITUTE(SUBSTITUTE(SalesData[[#This Row],[Profit]],"$",""),",",""))/VALUE(SUBSTITUTE(SUBSTITUTE(SalesData[[#This Row],[Sales]],"$",""),",","")),0)</f>
        <v>0.16603337188171155</v>
      </c>
      <c r="Y466" s="6">
        <f>IFERROR(VALUE(SUBSTITUTE(SUBSTITUTE(SalesData[[#This Row],[Sales]],"$",""),",",""))/SalesData[[#This Row],[Quantity]],0)</f>
        <v>30.265000000000001</v>
      </c>
      <c r="Z466">
        <f>YEAR(SalesData[[#This Row],[Order Date]])</f>
        <v>2024</v>
      </c>
      <c r="AA466" t="str">
        <f>TEXT(SalesData[[#This Row],[Order Date]],"mmm")</f>
        <v>May</v>
      </c>
      <c r="AB46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67" spans="1:28">
      <c r="A467">
        <v>1</v>
      </c>
      <c r="B467" t="s">
        <v>2688</v>
      </c>
      <c r="C467" s="1">
        <v>45422</v>
      </c>
      <c r="D467" s="1">
        <v>45424</v>
      </c>
      <c r="E467" t="s">
        <v>36</v>
      </c>
      <c r="F467" t="s">
        <v>2689</v>
      </c>
      <c r="G467" t="s">
        <v>511</v>
      </c>
      <c r="H467" t="s">
        <v>25</v>
      </c>
      <c r="I467" t="s">
        <v>26</v>
      </c>
      <c r="J467" t="s">
        <v>212</v>
      </c>
      <c r="K467" t="s">
        <v>212</v>
      </c>
      <c r="L467">
        <v>15311</v>
      </c>
      <c r="M467" t="s">
        <v>28</v>
      </c>
      <c r="N467" t="s">
        <v>2690</v>
      </c>
      <c r="O467" t="s">
        <v>43</v>
      </c>
      <c r="P467" t="s">
        <v>128</v>
      </c>
      <c r="Q467" t="s">
        <v>2691</v>
      </c>
      <c r="R467" t="s">
        <v>2692</v>
      </c>
      <c r="S467">
        <v>2</v>
      </c>
      <c r="T467" s="2">
        <v>0.2</v>
      </c>
      <c r="U467" t="s">
        <v>2693</v>
      </c>
      <c r="V467" t="str">
        <f>CHOOSE(MOD(SalesData[[#This Row],[Row ID]]-1,8)+1,"Aarav Sharma","Ananya Singh","Rohan Verma","Priya Gupta","Arjun Mehta","Neha Kapoor","Rahul Joshi","Sneha Patel")</f>
        <v>Aarav Sharma</v>
      </c>
      <c r="W46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67" s="8">
        <f>IFERROR(VALUE(SUBSTITUTE(SUBSTITUTE(SalesData[[#This Row],[Profit]],"$",""),",",""))/VALUE(SUBSTITUTE(SUBSTITUTE(SalesData[[#This Row],[Sales]],"$",""),",","")),0)</f>
        <v>9.9551465020096708E-2</v>
      </c>
      <c r="Y467" s="6">
        <f>IFERROR(VALUE(SUBSTITUTE(SUBSTITUTE(SalesData[[#This Row],[Sales]],"$",""),",",""))/SalesData[[#This Row],[Quantity]],0)</f>
        <v>85.834999999999994</v>
      </c>
      <c r="Z467">
        <f>YEAR(SalesData[[#This Row],[Order Date]])</f>
        <v>2024</v>
      </c>
      <c r="AA467" t="str">
        <f>TEXT(SalesData[[#This Row],[Order Date]],"mmm")</f>
        <v>May</v>
      </c>
      <c r="AB46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68" spans="1:28">
      <c r="A468">
        <v>192</v>
      </c>
      <c r="B468" t="s">
        <v>2694</v>
      </c>
      <c r="C468" s="1">
        <v>45425</v>
      </c>
      <c r="D468" s="1">
        <v>45429</v>
      </c>
      <c r="E468" t="s">
        <v>36</v>
      </c>
      <c r="F468" t="s">
        <v>2695</v>
      </c>
      <c r="G468" t="s">
        <v>794</v>
      </c>
      <c r="H468" t="s">
        <v>60</v>
      </c>
      <c r="I468" t="s">
        <v>26</v>
      </c>
      <c r="J468" t="s">
        <v>81</v>
      </c>
      <c r="K468" t="s">
        <v>81</v>
      </c>
      <c r="L468">
        <v>66184</v>
      </c>
      <c r="M468" t="s">
        <v>62</v>
      </c>
      <c r="N468" t="s">
        <v>2696</v>
      </c>
      <c r="O468" t="s">
        <v>30</v>
      </c>
      <c r="P468" t="s">
        <v>222</v>
      </c>
      <c r="Q468" t="s">
        <v>818</v>
      </c>
      <c r="R468" t="s">
        <v>2697</v>
      </c>
      <c r="S468">
        <v>2</v>
      </c>
      <c r="T468" s="2">
        <v>0.15</v>
      </c>
      <c r="U468" t="s">
        <v>2698</v>
      </c>
      <c r="V468" t="str">
        <f>CHOOSE(MOD(SalesData[[#This Row],[Row ID]]-1,8)+1,"Aarav Sharma","Ananya Singh","Rohan Verma","Priya Gupta","Arjun Mehta","Neha Kapoor","Rahul Joshi","Sneha Patel")</f>
        <v>Sneha Patel</v>
      </c>
      <c r="W46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68" s="8">
        <f>IFERROR(VALUE(SUBSTITUTE(SUBSTITUTE(SalesData[[#This Row],[Profit]],"$",""),",",""))/VALUE(SUBSTITUTE(SUBSTITUTE(SalesData[[#This Row],[Sales]],"$",""),",","")),0)</f>
        <v>9.7333871318166301E-2</v>
      </c>
      <c r="Y468" s="6">
        <f>IFERROR(VALUE(SUBSTITUTE(SUBSTITUTE(SalesData[[#This Row],[Sales]],"$",""),",",""))/SalesData[[#This Row],[Quantity]],0)</f>
        <v>161.095</v>
      </c>
      <c r="Z468">
        <f>YEAR(SalesData[[#This Row],[Order Date]])</f>
        <v>2024</v>
      </c>
      <c r="AA468" t="str">
        <f>TEXT(SalesData[[#This Row],[Order Date]],"mmm")</f>
        <v>May</v>
      </c>
      <c r="AB46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69" spans="1:28">
      <c r="A469">
        <v>7</v>
      </c>
      <c r="B469" t="s">
        <v>2699</v>
      </c>
      <c r="C469" s="1">
        <v>45425</v>
      </c>
      <c r="D469" s="1">
        <v>45429</v>
      </c>
      <c r="E469" t="s">
        <v>36</v>
      </c>
      <c r="F469" t="s">
        <v>2700</v>
      </c>
      <c r="G469" t="s">
        <v>707</v>
      </c>
      <c r="H469" t="s">
        <v>60</v>
      </c>
      <c r="I469" t="s">
        <v>26</v>
      </c>
      <c r="J469" t="s">
        <v>212</v>
      </c>
      <c r="K469" t="s">
        <v>212</v>
      </c>
      <c r="L469">
        <v>53585</v>
      </c>
      <c r="M469" t="s">
        <v>28</v>
      </c>
      <c r="N469" t="s">
        <v>2701</v>
      </c>
      <c r="O469" t="s">
        <v>43</v>
      </c>
      <c r="P469" t="s">
        <v>83</v>
      </c>
      <c r="Q469" t="s">
        <v>487</v>
      </c>
      <c r="R469" t="s">
        <v>2702</v>
      </c>
      <c r="S469">
        <v>5</v>
      </c>
      <c r="T469" s="2">
        <v>0.05</v>
      </c>
      <c r="U469" t="s">
        <v>2703</v>
      </c>
      <c r="V469" t="str">
        <f>CHOOSE(MOD(SalesData[[#This Row],[Row ID]]-1,8)+1,"Aarav Sharma","Ananya Singh","Rohan Verma","Priya Gupta","Arjun Mehta","Neha Kapoor","Rahul Joshi","Sneha Patel")</f>
        <v>Rahul Joshi</v>
      </c>
      <c r="W46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69" s="8">
        <f>IFERROR(VALUE(SUBSTITUTE(SUBSTITUTE(SalesData[[#This Row],[Profit]],"$",""),",",""))/VALUE(SUBSTITUTE(SUBSTITUTE(SalesData[[#This Row],[Sales]],"$",""),",","")),0)</f>
        <v>0.167977923907938</v>
      </c>
      <c r="Y469" s="6">
        <f>IFERROR(VALUE(SUBSTITUTE(SUBSTITUTE(SalesData[[#This Row],[Sales]],"$",""),",",""))/SalesData[[#This Row],[Quantity]],0)</f>
        <v>34.064</v>
      </c>
      <c r="Z469">
        <f>YEAR(SalesData[[#This Row],[Order Date]])</f>
        <v>2024</v>
      </c>
      <c r="AA469" t="str">
        <f>TEXT(SalesData[[#This Row],[Order Date]],"mmm")</f>
        <v>May</v>
      </c>
      <c r="AB46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70" spans="1:28">
      <c r="A470">
        <v>12</v>
      </c>
      <c r="B470" t="s">
        <v>2704</v>
      </c>
      <c r="C470" s="1">
        <v>45425</v>
      </c>
      <c r="D470" s="1">
        <v>45427</v>
      </c>
      <c r="E470" t="s">
        <v>49</v>
      </c>
      <c r="F470" t="s">
        <v>2705</v>
      </c>
      <c r="G470" t="s">
        <v>1446</v>
      </c>
      <c r="H470" t="s">
        <v>60</v>
      </c>
      <c r="I470" t="s">
        <v>26</v>
      </c>
      <c r="J470" t="s">
        <v>173</v>
      </c>
      <c r="K470" t="s">
        <v>173</v>
      </c>
      <c r="L470">
        <v>26371</v>
      </c>
      <c r="M470" t="s">
        <v>73</v>
      </c>
      <c r="N470" t="s">
        <v>2706</v>
      </c>
      <c r="O470" t="s">
        <v>43</v>
      </c>
      <c r="P470" t="s">
        <v>128</v>
      </c>
      <c r="Q470" t="s">
        <v>2707</v>
      </c>
      <c r="R470" t="s">
        <v>2708</v>
      </c>
      <c r="S470">
        <v>7</v>
      </c>
      <c r="T470" s="2">
        <v>0.15</v>
      </c>
      <c r="U470" t="s">
        <v>1493</v>
      </c>
      <c r="V470" t="str">
        <f>CHOOSE(MOD(SalesData[[#This Row],[Row ID]]-1,8)+1,"Aarav Sharma","Ananya Singh","Rohan Verma","Priya Gupta","Arjun Mehta","Neha Kapoor","Rahul Joshi","Sneha Patel")</f>
        <v>Priya Gupta</v>
      </c>
      <c r="W47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70" s="8">
        <f>IFERROR(VALUE(SUBSTITUTE(SUBSTITUTE(SalesData[[#This Row],[Profit]],"$",""),",",""))/VALUE(SUBSTITUTE(SUBSTITUTE(SalesData[[#This Row],[Sales]],"$",""),",","")),0)</f>
        <v>8.6243763364219517E-2</v>
      </c>
      <c r="Y470" s="6">
        <f>IFERROR(VALUE(SUBSTITUTE(SUBSTITUTE(SalesData[[#This Row],[Sales]],"$",""),",",""))/SalesData[[#This Row],[Quantity]],0)</f>
        <v>6.0128571428571433</v>
      </c>
      <c r="Z470">
        <f>YEAR(SalesData[[#This Row],[Order Date]])</f>
        <v>2024</v>
      </c>
      <c r="AA470" t="str">
        <f>TEXT(SalesData[[#This Row],[Order Date]],"mmm")</f>
        <v>May</v>
      </c>
      <c r="AB47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71" spans="1:28">
      <c r="A471">
        <v>579</v>
      </c>
      <c r="B471" t="s">
        <v>2709</v>
      </c>
      <c r="C471" s="1">
        <v>45426</v>
      </c>
      <c r="D471" s="1">
        <v>45429</v>
      </c>
      <c r="E471" t="s">
        <v>36</v>
      </c>
      <c r="F471" t="s">
        <v>2710</v>
      </c>
      <c r="G471" t="s">
        <v>719</v>
      </c>
      <c r="H471" t="s">
        <v>39</v>
      </c>
      <c r="I471" t="s">
        <v>26</v>
      </c>
      <c r="J471" t="s">
        <v>40</v>
      </c>
      <c r="K471" t="s">
        <v>40</v>
      </c>
      <c r="L471">
        <v>83839</v>
      </c>
      <c r="M471" t="s">
        <v>41</v>
      </c>
      <c r="N471" t="s">
        <v>2711</v>
      </c>
      <c r="O471" t="s">
        <v>43</v>
      </c>
      <c r="P471" t="s">
        <v>166</v>
      </c>
      <c r="Q471" t="s">
        <v>1847</v>
      </c>
      <c r="R471" t="s">
        <v>2712</v>
      </c>
      <c r="S471">
        <v>2</v>
      </c>
      <c r="T471" s="2">
        <v>0.3</v>
      </c>
      <c r="U471" t="s">
        <v>2713</v>
      </c>
      <c r="V471" t="str">
        <f>CHOOSE(MOD(SalesData[[#This Row],[Row ID]]-1,8)+1,"Aarav Sharma","Ananya Singh","Rohan Verma","Priya Gupta","Arjun Mehta","Neha Kapoor","Rahul Joshi","Sneha Patel")</f>
        <v>Rohan Verma</v>
      </c>
      <c r="W47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71" s="8">
        <f>IFERROR(VALUE(SUBSTITUTE(SUBSTITUTE(SalesData[[#This Row],[Profit]],"$",""),",",""))/VALUE(SUBSTITUTE(SUBSTITUTE(SalesData[[#This Row],[Sales]],"$",""),",","")),0)</f>
        <v>4.269005847953216E-2</v>
      </c>
      <c r="Y471" s="6">
        <f>IFERROR(VALUE(SUBSTITUTE(SUBSTITUTE(SalesData[[#This Row],[Sales]],"$",""),",",""))/SalesData[[#This Row],[Quantity]],0)</f>
        <v>8.5500000000000007</v>
      </c>
      <c r="Z471">
        <f>YEAR(SalesData[[#This Row],[Order Date]])</f>
        <v>2024</v>
      </c>
      <c r="AA471" t="str">
        <f>TEXT(SalesData[[#This Row],[Order Date]],"mmm")</f>
        <v>May</v>
      </c>
      <c r="AB47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72" spans="1:28">
      <c r="A472">
        <v>65</v>
      </c>
      <c r="B472" t="s">
        <v>2714</v>
      </c>
      <c r="C472" s="1">
        <v>45427</v>
      </c>
      <c r="D472" s="1">
        <v>45429</v>
      </c>
      <c r="E472" t="s">
        <v>49</v>
      </c>
      <c r="F472" t="s">
        <v>2715</v>
      </c>
      <c r="G472" t="s">
        <v>633</v>
      </c>
      <c r="H472" t="s">
        <v>60</v>
      </c>
      <c r="I472" t="s">
        <v>26</v>
      </c>
      <c r="J472" t="s">
        <v>173</v>
      </c>
      <c r="K472" t="s">
        <v>173</v>
      </c>
      <c r="L472">
        <v>11750</v>
      </c>
      <c r="M472" t="s">
        <v>73</v>
      </c>
      <c r="N472" t="s">
        <v>2567</v>
      </c>
      <c r="O472" t="s">
        <v>30</v>
      </c>
      <c r="P472" t="s">
        <v>222</v>
      </c>
      <c r="Q472" t="s">
        <v>2716</v>
      </c>
      <c r="R472" t="s">
        <v>2717</v>
      </c>
      <c r="S472">
        <v>3</v>
      </c>
      <c r="T472" s="2">
        <v>0.2</v>
      </c>
      <c r="U472" t="s">
        <v>2515</v>
      </c>
      <c r="V472" t="str">
        <f>CHOOSE(MOD(SalesData[[#This Row],[Row ID]]-1,8)+1,"Aarav Sharma","Ananya Singh","Rohan Verma","Priya Gupta","Arjun Mehta","Neha Kapoor","Rahul Joshi","Sneha Patel")</f>
        <v>Aarav Sharma</v>
      </c>
      <c r="W47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72" s="8">
        <f>IFERROR(VALUE(SUBSTITUTE(SUBSTITUTE(SalesData[[#This Row],[Profit]],"$",""),",",""))/VALUE(SUBSTITUTE(SUBSTITUTE(SalesData[[#This Row],[Sales]],"$",""),",","")),0)</f>
        <v>2.4906325765924619E-2</v>
      </c>
      <c r="Y472" s="6">
        <f>IFERROR(VALUE(SUBSTITUTE(SUBSTITUTE(SalesData[[#This Row],[Sales]],"$",""),",",""))/SalesData[[#This Row],[Quantity]],0)</f>
        <v>15.123333333333333</v>
      </c>
      <c r="Z472">
        <f>YEAR(SalesData[[#This Row],[Order Date]])</f>
        <v>2024</v>
      </c>
      <c r="AA472" t="str">
        <f>TEXT(SalesData[[#This Row],[Order Date]],"mmm")</f>
        <v>May</v>
      </c>
      <c r="AB47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73" spans="1:28">
      <c r="A473">
        <v>404</v>
      </c>
      <c r="B473" t="s">
        <v>2718</v>
      </c>
      <c r="C473" s="1">
        <v>45433</v>
      </c>
      <c r="D473" s="1">
        <v>45438</v>
      </c>
      <c r="E473" t="s">
        <v>49</v>
      </c>
      <c r="F473" t="s">
        <v>2719</v>
      </c>
      <c r="G473" t="s">
        <v>677</v>
      </c>
      <c r="H473" t="s">
        <v>25</v>
      </c>
      <c r="I473" t="s">
        <v>26</v>
      </c>
      <c r="J473" t="s">
        <v>52</v>
      </c>
      <c r="K473" t="s">
        <v>52</v>
      </c>
      <c r="L473">
        <v>68703</v>
      </c>
      <c r="M473" t="s">
        <v>41</v>
      </c>
      <c r="N473" t="s">
        <v>1877</v>
      </c>
      <c r="O473" t="s">
        <v>43</v>
      </c>
      <c r="P473" t="s">
        <v>189</v>
      </c>
      <c r="Q473" t="s">
        <v>190</v>
      </c>
      <c r="R473" t="s">
        <v>2720</v>
      </c>
      <c r="S473">
        <v>2</v>
      </c>
      <c r="T473" s="2">
        <v>0</v>
      </c>
      <c r="U473" t="s">
        <v>2721</v>
      </c>
      <c r="V473" t="str">
        <f>CHOOSE(MOD(SalesData[[#This Row],[Row ID]]-1,8)+1,"Aarav Sharma","Ananya Singh","Rohan Verma","Priya Gupta","Arjun Mehta","Neha Kapoor","Rahul Joshi","Sneha Patel")</f>
        <v>Priya Gupta</v>
      </c>
      <c r="W47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73" s="8">
        <f>IFERROR(VALUE(SUBSTITUTE(SUBSTITUTE(SalesData[[#This Row],[Profit]],"$",""),",",""))/VALUE(SUBSTITUTE(SUBSTITUTE(SalesData[[#This Row],[Sales]],"$",""),",","")),0)</f>
        <v>0.26865358379683074</v>
      </c>
      <c r="Y473" s="6">
        <f>IFERROR(VALUE(SUBSTITUTE(SUBSTITUTE(SalesData[[#This Row],[Sales]],"$",""),",",""))/SalesData[[#This Row],[Quantity]],0)</f>
        <v>47.645000000000003</v>
      </c>
      <c r="Z473">
        <f>YEAR(SalesData[[#This Row],[Order Date]])</f>
        <v>2024</v>
      </c>
      <c r="AA473" t="str">
        <f>TEXT(SalesData[[#This Row],[Order Date]],"mmm")</f>
        <v>May</v>
      </c>
      <c r="AB47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74" spans="1:28">
      <c r="A474">
        <v>504</v>
      </c>
      <c r="B474" t="s">
        <v>2722</v>
      </c>
      <c r="C474" s="1">
        <v>45435</v>
      </c>
      <c r="D474" s="1">
        <v>45438</v>
      </c>
      <c r="E474" t="s">
        <v>36</v>
      </c>
      <c r="F474" t="s">
        <v>2723</v>
      </c>
      <c r="G474" t="s">
        <v>594</v>
      </c>
      <c r="H474" t="s">
        <v>25</v>
      </c>
      <c r="I474" t="s">
        <v>26</v>
      </c>
      <c r="J474" t="s">
        <v>40</v>
      </c>
      <c r="K474" t="s">
        <v>40</v>
      </c>
      <c r="L474">
        <v>86095</v>
      </c>
      <c r="M474" t="s">
        <v>41</v>
      </c>
      <c r="N474" t="s">
        <v>627</v>
      </c>
      <c r="O474" t="s">
        <v>64</v>
      </c>
      <c r="P474" t="s">
        <v>405</v>
      </c>
      <c r="Q474" t="s">
        <v>2382</v>
      </c>
      <c r="R474" t="s">
        <v>2724</v>
      </c>
      <c r="S474">
        <v>7</v>
      </c>
      <c r="T474" s="2">
        <v>0.2</v>
      </c>
      <c r="U474" t="s">
        <v>2725</v>
      </c>
      <c r="V474" t="str">
        <f>CHOOSE(MOD(SalesData[[#This Row],[Row ID]]-1,8)+1,"Aarav Sharma","Ananya Singh","Rohan Verma","Priya Gupta","Arjun Mehta","Neha Kapoor","Rahul Joshi","Sneha Patel")</f>
        <v>Sneha Patel</v>
      </c>
      <c r="W47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74" s="8">
        <f>IFERROR(VALUE(SUBSTITUTE(SUBSTITUTE(SalesData[[#This Row],[Profit]],"$",""),",",""))/VALUE(SUBSTITUTE(SUBSTITUTE(SalesData[[#This Row],[Sales]],"$",""),",","")),0)</f>
        <v>8.7160997021476713E-2</v>
      </c>
      <c r="Y474" s="6">
        <f>IFERROR(VALUE(SUBSTITUTE(SUBSTITUTE(SalesData[[#This Row],[Sales]],"$",""),",",""))/SalesData[[#This Row],[Quantity]],0)</f>
        <v>9.112857142857143</v>
      </c>
      <c r="Z474">
        <f>YEAR(SalesData[[#This Row],[Order Date]])</f>
        <v>2024</v>
      </c>
      <c r="AA474" t="str">
        <f>TEXT(SalesData[[#This Row],[Order Date]],"mmm")</f>
        <v>May</v>
      </c>
      <c r="AB47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75" spans="1:28">
      <c r="A475">
        <v>122</v>
      </c>
      <c r="B475" t="s">
        <v>2726</v>
      </c>
      <c r="C475" s="1">
        <v>45435</v>
      </c>
      <c r="D475" s="1">
        <v>45439</v>
      </c>
      <c r="E475" t="s">
        <v>36</v>
      </c>
      <c r="F475" t="s">
        <v>2727</v>
      </c>
      <c r="G475" t="s">
        <v>750</v>
      </c>
      <c r="H475" t="s">
        <v>39</v>
      </c>
      <c r="I475" t="s">
        <v>26</v>
      </c>
      <c r="J475" t="s">
        <v>173</v>
      </c>
      <c r="K475" t="s">
        <v>173</v>
      </c>
      <c r="L475">
        <v>23944</v>
      </c>
      <c r="M475" t="s">
        <v>73</v>
      </c>
      <c r="N475" t="s">
        <v>2728</v>
      </c>
      <c r="O475" t="s">
        <v>43</v>
      </c>
      <c r="P475" t="s">
        <v>189</v>
      </c>
      <c r="Q475" t="s">
        <v>2354</v>
      </c>
      <c r="R475" t="s">
        <v>2729</v>
      </c>
      <c r="S475">
        <v>2</v>
      </c>
      <c r="T475" s="2">
        <v>0.3</v>
      </c>
      <c r="U475" t="s">
        <v>2730</v>
      </c>
      <c r="V475" t="str">
        <f>CHOOSE(MOD(SalesData[[#This Row],[Row ID]]-1,8)+1,"Aarav Sharma","Ananya Singh","Rohan Verma","Priya Gupta","Arjun Mehta","Neha Kapoor","Rahul Joshi","Sneha Patel")</f>
        <v>Ananya Singh</v>
      </c>
      <c r="W47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75" s="8">
        <f>IFERROR(VALUE(SUBSTITUTE(SUBSTITUTE(SalesData[[#This Row],[Profit]],"$",""),",",""))/VALUE(SUBSTITUTE(SUBSTITUTE(SalesData[[#This Row],[Sales]],"$",""),",","")),0)</f>
        <v>-7.9610312930525479E-2</v>
      </c>
      <c r="Y475" s="6">
        <f>IFERROR(VALUE(SUBSTITUTE(SUBSTITUTE(SalesData[[#This Row],[Sales]],"$",""),",",""))/SalesData[[#This Row],[Quantity]],0)</f>
        <v>50.81</v>
      </c>
      <c r="Z475">
        <f>YEAR(SalesData[[#This Row],[Order Date]])</f>
        <v>2024</v>
      </c>
      <c r="AA475" t="str">
        <f>TEXT(SalesData[[#This Row],[Order Date]],"mmm")</f>
        <v>May</v>
      </c>
      <c r="AB47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76" spans="1:28">
      <c r="A476">
        <v>551</v>
      </c>
      <c r="B476" t="s">
        <v>2731</v>
      </c>
      <c r="C476" s="1">
        <v>45436</v>
      </c>
      <c r="D476" s="1">
        <v>45438</v>
      </c>
      <c r="E476" t="s">
        <v>36</v>
      </c>
      <c r="F476" t="s">
        <v>2732</v>
      </c>
      <c r="G476" t="s">
        <v>384</v>
      </c>
      <c r="H476" t="s">
        <v>25</v>
      </c>
      <c r="I476" t="s">
        <v>26</v>
      </c>
      <c r="J476" t="s">
        <v>301</v>
      </c>
      <c r="K476" t="s">
        <v>301</v>
      </c>
      <c r="L476">
        <v>79000</v>
      </c>
      <c r="M476" t="s">
        <v>73</v>
      </c>
      <c r="N476" t="s">
        <v>1441</v>
      </c>
      <c r="O476" t="s">
        <v>64</v>
      </c>
      <c r="P476" t="s">
        <v>65</v>
      </c>
      <c r="Q476" t="s">
        <v>275</v>
      </c>
      <c r="R476" t="s">
        <v>2733</v>
      </c>
      <c r="S476">
        <v>2</v>
      </c>
      <c r="T476" s="2">
        <v>0.1</v>
      </c>
      <c r="U476" t="s">
        <v>2734</v>
      </c>
      <c r="V476" t="str">
        <f>CHOOSE(MOD(SalesData[[#This Row],[Row ID]]-1,8)+1,"Aarav Sharma","Ananya Singh","Rohan Verma","Priya Gupta","Arjun Mehta","Neha Kapoor","Rahul Joshi","Sneha Patel")</f>
        <v>Rahul Joshi</v>
      </c>
      <c r="W47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76" s="8">
        <f>IFERROR(VALUE(SUBSTITUTE(SUBSTITUTE(SalesData[[#This Row],[Profit]],"$",""),",",""))/VALUE(SUBSTITUTE(SUBSTITUTE(SalesData[[#This Row],[Sales]],"$",""),",","")),0)</f>
        <v>0.1528857961522718</v>
      </c>
      <c r="Y476" s="6">
        <f>IFERROR(VALUE(SUBSTITUTE(SUBSTITUTE(SalesData[[#This Row],[Sales]],"$",""),",",""))/SalesData[[#This Row],[Quantity]],0)</f>
        <v>24.43</v>
      </c>
      <c r="Z476">
        <f>YEAR(SalesData[[#This Row],[Order Date]])</f>
        <v>2024</v>
      </c>
      <c r="AA476" t="str">
        <f>TEXT(SalesData[[#This Row],[Order Date]],"mmm")</f>
        <v>May</v>
      </c>
      <c r="AB47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77" spans="1:28">
      <c r="A477">
        <v>560</v>
      </c>
      <c r="B477" t="s">
        <v>2735</v>
      </c>
      <c r="C477" s="1">
        <v>45436</v>
      </c>
      <c r="D477" s="1">
        <v>45440</v>
      </c>
      <c r="E477" t="s">
        <v>36</v>
      </c>
      <c r="F477" t="s">
        <v>2736</v>
      </c>
      <c r="G477" t="s">
        <v>286</v>
      </c>
      <c r="H477" t="s">
        <v>39</v>
      </c>
      <c r="I477" t="s">
        <v>26</v>
      </c>
      <c r="J477" t="s">
        <v>81</v>
      </c>
      <c r="K477" t="s">
        <v>81</v>
      </c>
      <c r="L477">
        <v>31424</v>
      </c>
      <c r="M477" t="s">
        <v>62</v>
      </c>
      <c r="N477" t="s">
        <v>2737</v>
      </c>
      <c r="O477" t="s">
        <v>43</v>
      </c>
      <c r="P477" t="s">
        <v>128</v>
      </c>
      <c r="Q477" t="s">
        <v>1563</v>
      </c>
      <c r="R477" t="s">
        <v>2738</v>
      </c>
      <c r="S477">
        <v>6</v>
      </c>
      <c r="T477" s="2">
        <v>0.3</v>
      </c>
      <c r="U477" t="s">
        <v>2739</v>
      </c>
      <c r="V477" t="str">
        <f>CHOOSE(MOD(SalesData[[#This Row],[Row ID]]-1,8)+1,"Aarav Sharma","Ananya Singh","Rohan Verma","Priya Gupta","Arjun Mehta","Neha Kapoor","Rahul Joshi","Sneha Patel")</f>
        <v>Sneha Patel</v>
      </c>
      <c r="W47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77" s="8">
        <f>IFERROR(VALUE(SUBSTITUTE(SUBSTITUTE(SalesData[[#This Row],[Profit]],"$",""),",",""))/VALUE(SUBSTITUTE(SUBSTITUTE(SalesData[[#This Row],[Sales]],"$",""),",","")),0)</f>
        <v>5.7381286463333576E-2</v>
      </c>
      <c r="Y477" s="6">
        <f>IFERROR(VALUE(SUBSTITUTE(SUBSTITUTE(SalesData[[#This Row],[Sales]],"$",""),",",""))/SalesData[[#This Row],[Quantity]],0)</f>
        <v>22.568333333333332</v>
      </c>
      <c r="Z477">
        <f>YEAR(SalesData[[#This Row],[Order Date]])</f>
        <v>2024</v>
      </c>
      <c r="AA477" t="str">
        <f>TEXT(SalesData[[#This Row],[Order Date]],"mmm")</f>
        <v>May</v>
      </c>
      <c r="AB47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78" spans="1:28">
      <c r="A478">
        <v>34</v>
      </c>
      <c r="B478" t="s">
        <v>2740</v>
      </c>
      <c r="C478" s="1">
        <v>45438</v>
      </c>
      <c r="D478" s="1">
        <v>45440</v>
      </c>
      <c r="E478" t="s">
        <v>382</v>
      </c>
      <c r="F478" t="s">
        <v>2741</v>
      </c>
      <c r="G478" t="s">
        <v>2416</v>
      </c>
      <c r="H478" t="s">
        <v>25</v>
      </c>
      <c r="I478" t="s">
        <v>26</v>
      </c>
      <c r="J478" t="s">
        <v>96</v>
      </c>
      <c r="K478" t="s">
        <v>96</v>
      </c>
      <c r="L478">
        <v>85880</v>
      </c>
      <c r="M478" t="s">
        <v>28</v>
      </c>
      <c r="N478" t="s">
        <v>2742</v>
      </c>
      <c r="O478" t="s">
        <v>43</v>
      </c>
      <c r="P478" t="s">
        <v>214</v>
      </c>
      <c r="Q478" t="s">
        <v>1267</v>
      </c>
      <c r="R478" t="s">
        <v>2743</v>
      </c>
      <c r="S478">
        <v>7</v>
      </c>
      <c r="T478" s="2">
        <v>0.1</v>
      </c>
      <c r="U478" t="s">
        <v>2744</v>
      </c>
      <c r="V478" t="str">
        <f>CHOOSE(MOD(SalesData[[#This Row],[Row ID]]-1,8)+1,"Aarav Sharma","Ananya Singh","Rohan Verma","Priya Gupta","Arjun Mehta","Neha Kapoor","Rahul Joshi","Sneha Patel")</f>
        <v>Ananya Singh</v>
      </c>
      <c r="W47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78" s="8">
        <f>IFERROR(VALUE(SUBSTITUTE(SUBSTITUTE(SalesData[[#This Row],[Profit]],"$",""),",",""))/VALUE(SUBSTITUTE(SUBSTITUTE(SalesData[[#This Row],[Sales]],"$",""),",","")),0)</f>
        <v>0.15209790209790211</v>
      </c>
      <c r="Y478" s="6">
        <f>IFERROR(VALUE(SUBSTITUTE(SUBSTITUTE(SalesData[[#This Row],[Sales]],"$",""),",",""))/SalesData[[#This Row],[Quantity]],0)</f>
        <v>1.6342857142857141</v>
      </c>
      <c r="Z478">
        <f>YEAR(SalesData[[#This Row],[Order Date]])</f>
        <v>2024</v>
      </c>
      <c r="AA478" t="str">
        <f>TEXT(SalesData[[#This Row],[Order Date]],"mmm")</f>
        <v>May</v>
      </c>
      <c r="AB47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79" spans="1:28">
      <c r="A479">
        <v>526</v>
      </c>
      <c r="B479" t="s">
        <v>2745</v>
      </c>
      <c r="C479" s="1">
        <v>45442</v>
      </c>
      <c r="D479" s="1">
        <v>45445</v>
      </c>
      <c r="E479" t="s">
        <v>49</v>
      </c>
      <c r="F479" t="s">
        <v>2746</v>
      </c>
      <c r="G479" t="s">
        <v>236</v>
      </c>
      <c r="H479" t="s">
        <v>25</v>
      </c>
      <c r="I479" t="s">
        <v>26</v>
      </c>
      <c r="J479" t="s">
        <v>260</v>
      </c>
      <c r="K479" t="s">
        <v>260</v>
      </c>
      <c r="L479">
        <v>76567</v>
      </c>
      <c r="M479" t="s">
        <v>41</v>
      </c>
      <c r="N479" t="s">
        <v>2747</v>
      </c>
      <c r="O479" t="s">
        <v>30</v>
      </c>
      <c r="P479" t="s">
        <v>197</v>
      </c>
      <c r="Q479" t="s">
        <v>2748</v>
      </c>
      <c r="R479" t="s">
        <v>2749</v>
      </c>
      <c r="S479">
        <v>7</v>
      </c>
      <c r="T479" s="2">
        <v>0.2</v>
      </c>
      <c r="U479" t="s">
        <v>611</v>
      </c>
      <c r="V479" t="str">
        <f>CHOOSE(MOD(SalesData[[#This Row],[Row ID]]-1,8)+1,"Aarav Sharma","Ananya Singh","Rohan Verma","Priya Gupta","Arjun Mehta","Neha Kapoor","Rahul Joshi","Sneha Patel")</f>
        <v>Neha Kapoor</v>
      </c>
      <c r="W47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79" s="8">
        <f>IFERROR(VALUE(SUBSTITUTE(SUBSTITUTE(SalesData[[#This Row],[Profit]],"$",""),",",""))/VALUE(SUBSTITUTE(SUBSTITUTE(SalesData[[#This Row],[Sales]],"$",""),",","")),0)</f>
        <v>2.0328102710413694E-2</v>
      </c>
      <c r="Y479" s="6">
        <f>IFERROR(VALUE(SUBSTITUTE(SUBSTITUTE(SalesData[[#This Row],[Sales]],"$",""),",",""))/SalesData[[#This Row],[Quantity]],0)</f>
        <v>8.0114285714285707</v>
      </c>
      <c r="Z479">
        <f>YEAR(SalesData[[#This Row],[Order Date]])</f>
        <v>2024</v>
      </c>
      <c r="AA479" t="str">
        <f>TEXT(SalesData[[#This Row],[Order Date]],"mmm")</f>
        <v>May</v>
      </c>
      <c r="AB47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80" spans="1:28">
      <c r="A480">
        <v>414</v>
      </c>
      <c r="B480" t="s">
        <v>2750</v>
      </c>
      <c r="C480" s="1">
        <v>45442</v>
      </c>
      <c r="D480" s="1">
        <v>45445</v>
      </c>
      <c r="E480" t="s">
        <v>49</v>
      </c>
      <c r="F480" t="s">
        <v>2751</v>
      </c>
      <c r="G480" t="s">
        <v>816</v>
      </c>
      <c r="H480" t="s">
        <v>60</v>
      </c>
      <c r="I480" t="s">
        <v>26</v>
      </c>
      <c r="J480" t="s">
        <v>363</v>
      </c>
      <c r="K480" t="s">
        <v>363</v>
      </c>
      <c r="L480">
        <v>20150</v>
      </c>
      <c r="M480" t="s">
        <v>62</v>
      </c>
      <c r="N480" t="s">
        <v>2577</v>
      </c>
      <c r="O480" t="s">
        <v>30</v>
      </c>
      <c r="P480" t="s">
        <v>120</v>
      </c>
      <c r="Q480" t="s">
        <v>576</v>
      </c>
      <c r="R480" t="s">
        <v>2752</v>
      </c>
      <c r="S480">
        <v>4</v>
      </c>
      <c r="T480" s="2">
        <v>0</v>
      </c>
      <c r="U480" t="s">
        <v>2753</v>
      </c>
      <c r="V480" t="str">
        <f>CHOOSE(MOD(SalesData[[#This Row],[Row ID]]-1,8)+1,"Aarav Sharma","Ananya Singh","Rohan Verma","Priya Gupta","Arjun Mehta","Neha Kapoor","Rahul Joshi","Sneha Patel")</f>
        <v>Neha Kapoor</v>
      </c>
      <c r="W48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80" s="8">
        <f>IFERROR(VALUE(SUBSTITUTE(SUBSTITUTE(SalesData[[#This Row],[Profit]],"$",""),",",""))/VALUE(SUBSTITUTE(SUBSTITUTE(SalesData[[#This Row],[Sales]],"$",""),",","")),0)</f>
        <v>0.21730484882475909</v>
      </c>
      <c r="Y480" s="6">
        <f>IFERROR(VALUE(SUBSTITUTE(SUBSTITUTE(SalesData[[#This Row],[Sales]],"$",""),",",""))/SalesData[[#This Row],[Quantity]],0)</f>
        <v>49.032499999999999</v>
      </c>
      <c r="Z480">
        <f>YEAR(SalesData[[#This Row],[Order Date]])</f>
        <v>2024</v>
      </c>
      <c r="AA480" t="str">
        <f>TEXT(SalesData[[#This Row],[Order Date]],"mmm")</f>
        <v>May</v>
      </c>
      <c r="AB48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81" spans="1:28">
      <c r="A481">
        <v>252</v>
      </c>
      <c r="B481" t="s">
        <v>2754</v>
      </c>
      <c r="C481" s="1">
        <v>45443</v>
      </c>
      <c r="D481" s="1">
        <v>45447</v>
      </c>
      <c r="E481" t="s">
        <v>36</v>
      </c>
      <c r="F481" t="s">
        <v>2755</v>
      </c>
      <c r="G481" t="s">
        <v>362</v>
      </c>
      <c r="H481" t="s">
        <v>60</v>
      </c>
      <c r="I481" t="s">
        <v>26</v>
      </c>
      <c r="J481" t="s">
        <v>150</v>
      </c>
      <c r="K481" t="s">
        <v>150</v>
      </c>
      <c r="L481">
        <v>29601</v>
      </c>
      <c r="M481" t="s">
        <v>73</v>
      </c>
      <c r="N481" t="s">
        <v>2756</v>
      </c>
      <c r="O481" t="s">
        <v>43</v>
      </c>
      <c r="P481" t="s">
        <v>128</v>
      </c>
      <c r="Q481" t="s">
        <v>2757</v>
      </c>
      <c r="R481" t="s">
        <v>2758</v>
      </c>
      <c r="S481">
        <v>2</v>
      </c>
      <c r="T481" s="2">
        <v>0.05</v>
      </c>
      <c r="U481" t="s">
        <v>2759</v>
      </c>
      <c r="V481" t="str">
        <f>CHOOSE(MOD(SalesData[[#This Row],[Row ID]]-1,8)+1,"Aarav Sharma","Ananya Singh","Rohan Verma","Priya Gupta","Arjun Mehta","Neha Kapoor","Rahul Joshi","Sneha Patel")</f>
        <v>Priya Gupta</v>
      </c>
      <c r="W48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81" s="8">
        <f>IFERROR(VALUE(SUBSTITUTE(SUBSTITUTE(SalesData[[#This Row],[Profit]],"$",""),",",""))/VALUE(SUBSTITUTE(SUBSTITUTE(SalesData[[#This Row],[Sales]],"$",""),",","")),0)</f>
        <v>0.21897667124093315</v>
      </c>
      <c r="Y481" s="6">
        <f>IFERROR(VALUE(SUBSTITUTE(SUBSTITUTE(SalesData[[#This Row],[Sales]],"$",""),",",""))/SalesData[[#This Row],[Quantity]],0)</f>
        <v>51.01</v>
      </c>
      <c r="Z481">
        <f>YEAR(SalesData[[#This Row],[Order Date]])</f>
        <v>2024</v>
      </c>
      <c r="AA481" t="str">
        <f>TEXT(SalesData[[#This Row],[Order Date]],"mmm")</f>
        <v>May</v>
      </c>
      <c r="AB48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82" spans="1:28">
      <c r="A482">
        <v>160</v>
      </c>
      <c r="B482" t="s">
        <v>2760</v>
      </c>
      <c r="C482" s="1">
        <v>45444</v>
      </c>
      <c r="D482" s="1">
        <v>45447</v>
      </c>
      <c r="E482" t="s">
        <v>49</v>
      </c>
      <c r="F482" t="s">
        <v>2761</v>
      </c>
      <c r="G482" t="s">
        <v>384</v>
      </c>
      <c r="H482" t="s">
        <v>60</v>
      </c>
      <c r="I482" t="s">
        <v>26</v>
      </c>
      <c r="J482" t="s">
        <v>204</v>
      </c>
      <c r="K482" t="s">
        <v>204</v>
      </c>
      <c r="L482">
        <v>31083</v>
      </c>
      <c r="M482" t="s">
        <v>28</v>
      </c>
      <c r="N482" t="s">
        <v>2762</v>
      </c>
      <c r="O482" t="s">
        <v>30</v>
      </c>
      <c r="P482" t="s">
        <v>120</v>
      </c>
      <c r="Q482" t="s">
        <v>357</v>
      </c>
      <c r="R482" t="s">
        <v>2763</v>
      </c>
      <c r="S482">
        <v>3</v>
      </c>
      <c r="T482" s="2">
        <v>0.05</v>
      </c>
      <c r="U482" t="s">
        <v>2764</v>
      </c>
      <c r="V482" t="str">
        <f>CHOOSE(MOD(SalesData[[#This Row],[Row ID]]-1,8)+1,"Aarav Sharma","Ananya Singh","Rohan Verma","Priya Gupta","Arjun Mehta","Neha Kapoor","Rahul Joshi","Sneha Patel")</f>
        <v>Sneha Patel</v>
      </c>
      <c r="W48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82" s="8">
        <f>IFERROR(VALUE(SUBSTITUTE(SUBSTITUTE(SalesData[[#This Row],[Profit]],"$",""),",",""))/VALUE(SUBSTITUTE(SUBSTITUTE(SalesData[[#This Row],[Sales]],"$",""),",","")),0)</f>
        <v>9.0657439446366797E-2</v>
      </c>
      <c r="Y482" s="6">
        <f>IFERROR(VALUE(SUBSTITUTE(SUBSTITUTE(SalesData[[#This Row],[Sales]],"$",""),",",""))/SalesData[[#This Row],[Quantity]],0)</f>
        <v>38.533333333333331</v>
      </c>
      <c r="Z482">
        <f>YEAR(SalesData[[#This Row],[Order Date]])</f>
        <v>2024</v>
      </c>
      <c r="AA482" t="str">
        <f>TEXT(SalesData[[#This Row],[Order Date]],"mmm")</f>
        <v>Jun</v>
      </c>
      <c r="AB48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83" spans="1:28">
      <c r="A483">
        <v>79</v>
      </c>
      <c r="B483" t="s">
        <v>2765</v>
      </c>
      <c r="C483" s="1">
        <v>45445</v>
      </c>
      <c r="D483" s="1">
        <v>45449</v>
      </c>
      <c r="E483" t="s">
        <v>22</v>
      </c>
      <c r="F483" t="s">
        <v>2766</v>
      </c>
      <c r="G483" t="s">
        <v>71</v>
      </c>
      <c r="H483" t="s">
        <v>25</v>
      </c>
      <c r="I483" t="s">
        <v>26</v>
      </c>
      <c r="J483" t="s">
        <v>40</v>
      </c>
      <c r="K483" t="s">
        <v>40</v>
      </c>
      <c r="L483">
        <v>94976</v>
      </c>
      <c r="M483" t="s">
        <v>41</v>
      </c>
      <c r="N483" t="s">
        <v>2767</v>
      </c>
      <c r="O483" t="s">
        <v>43</v>
      </c>
      <c r="P483" t="s">
        <v>189</v>
      </c>
      <c r="Q483" t="s">
        <v>206</v>
      </c>
      <c r="R483" t="s">
        <v>2059</v>
      </c>
      <c r="S483">
        <v>6</v>
      </c>
      <c r="T483" s="2">
        <v>0.05</v>
      </c>
      <c r="U483" t="s">
        <v>2511</v>
      </c>
      <c r="V483" t="str">
        <f>CHOOSE(MOD(SalesData[[#This Row],[Row ID]]-1,8)+1,"Aarav Sharma","Ananya Singh","Rohan Verma","Priya Gupta","Arjun Mehta","Neha Kapoor","Rahul Joshi","Sneha Patel")</f>
        <v>Rahul Joshi</v>
      </c>
      <c r="W48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83" s="8">
        <f>IFERROR(VALUE(SUBSTITUTE(SUBSTITUTE(SalesData[[#This Row],[Profit]],"$",""),",",""))/VALUE(SUBSTITUTE(SUBSTITUTE(SalesData[[#This Row],[Sales]],"$",""),",","")),0)</f>
        <v>0.14241803278688525</v>
      </c>
      <c r="Y483" s="6">
        <f>IFERROR(VALUE(SUBSTITUTE(SUBSTITUTE(SalesData[[#This Row],[Sales]],"$",""),",",""))/SalesData[[#This Row],[Quantity]],0)</f>
        <v>1.6266666666666667</v>
      </c>
      <c r="Z483">
        <f>YEAR(SalesData[[#This Row],[Order Date]])</f>
        <v>2024</v>
      </c>
      <c r="AA483" t="str">
        <f>TEXT(SalesData[[#This Row],[Order Date]],"mmm")</f>
        <v>Jun</v>
      </c>
      <c r="AB48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84" spans="1:28">
      <c r="A484">
        <v>499</v>
      </c>
      <c r="B484" t="s">
        <v>2768</v>
      </c>
      <c r="C484" s="1">
        <v>45445</v>
      </c>
      <c r="D484" s="1">
        <v>45449</v>
      </c>
      <c r="E484" t="s">
        <v>49</v>
      </c>
      <c r="F484" t="s">
        <v>2769</v>
      </c>
      <c r="G484" t="s">
        <v>1572</v>
      </c>
      <c r="H484" t="s">
        <v>25</v>
      </c>
      <c r="I484" t="s">
        <v>26</v>
      </c>
      <c r="J484" t="s">
        <v>61</v>
      </c>
      <c r="K484" t="s">
        <v>61</v>
      </c>
      <c r="L484">
        <v>43359</v>
      </c>
      <c r="M484" t="s">
        <v>62</v>
      </c>
      <c r="N484" t="s">
        <v>2770</v>
      </c>
      <c r="O484" t="s">
        <v>64</v>
      </c>
      <c r="P484" t="s">
        <v>105</v>
      </c>
      <c r="Q484" t="s">
        <v>1992</v>
      </c>
      <c r="R484" t="s">
        <v>2771</v>
      </c>
      <c r="S484">
        <v>6</v>
      </c>
      <c r="T484" s="2">
        <v>0.1</v>
      </c>
      <c r="U484" t="s">
        <v>2772</v>
      </c>
      <c r="V484" t="str">
        <f>CHOOSE(MOD(SalesData[[#This Row],[Row ID]]-1,8)+1,"Aarav Sharma","Ananya Singh","Rohan Verma","Priya Gupta","Arjun Mehta","Neha Kapoor","Rahul Joshi","Sneha Patel")</f>
        <v>Rohan Verma</v>
      </c>
      <c r="W48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84" s="8">
        <f>IFERROR(VALUE(SUBSTITUTE(SUBSTITUTE(SalesData[[#This Row],[Profit]],"$",""),",",""))/VALUE(SUBSTITUTE(SUBSTITUTE(SalesData[[#This Row],[Sales]],"$",""),",","")),0)</f>
        <v>0.25484581497797359</v>
      </c>
      <c r="Y484" s="6">
        <f>IFERROR(VALUE(SUBSTITUTE(SUBSTITUTE(SalesData[[#This Row],[Sales]],"$",""),",",""))/SalesData[[#This Row],[Quantity]],0)</f>
        <v>37.833333333333336</v>
      </c>
      <c r="Z484">
        <f>YEAR(SalesData[[#This Row],[Order Date]])</f>
        <v>2024</v>
      </c>
      <c r="AA484" t="str">
        <f>TEXT(SalesData[[#This Row],[Order Date]],"mmm")</f>
        <v>Jun</v>
      </c>
      <c r="AB48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85" spans="1:28">
      <c r="A485">
        <v>71</v>
      </c>
      <c r="B485" t="s">
        <v>2773</v>
      </c>
      <c r="C485" s="1">
        <v>45446</v>
      </c>
      <c r="D485" s="1">
        <v>45450</v>
      </c>
      <c r="E485" t="s">
        <v>36</v>
      </c>
      <c r="F485" t="s">
        <v>2774</v>
      </c>
      <c r="G485" t="s">
        <v>1265</v>
      </c>
      <c r="H485" t="s">
        <v>25</v>
      </c>
      <c r="I485" t="s">
        <v>26</v>
      </c>
      <c r="J485" t="s">
        <v>81</v>
      </c>
      <c r="K485" t="s">
        <v>81</v>
      </c>
      <c r="L485">
        <v>52874</v>
      </c>
      <c r="M485" t="s">
        <v>62</v>
      </c>
      <c r="N485" t="s">
        <v>2775</v>
      </c>
      <c r="O485" t="s">
        <v>30</v>
      </c>
      <c r="P485" t="s">
        <v>197</v>
      </c>
      <c r="Q485" t="s">
        <v>789</v>
      </c>
      <c r="R485" t="s">
        <v>2776</v>
      </c>
      <c r="S485">
        <v>7</v>
      </c>
      <c r="T485" s="2">
        <v>0.05</v>
      </c>
      <c r="U485" t="s">
        <v>2777</v>
      </c>
      <c r="V485" t="str">
        <f>CHOOSE(MOD(SalesData[[#This Row],[Row ID]]-1,8)+1,"Aarav Sharma","Ananya Singh","Rohan Verma","Priya Gupta","Arjun Mehta","Neha Kapoor","Rahul Joshi","Sneha Patel")</f>
        <v>Rahul Joshi</v>
      </c>
      <c r="W48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85" s="8">
        <f>IFERROR(VALUE(SUBSTITUTE(SUBSTITUTE(SalesData[[#This Row],[Profit]],"$",""),",",""))/VALUE(SUBSTITUTE(SUBSTITUTE(SalesData[[#This Row],[Sales]],"$",""),",","")),0)</f>
        <v>0.19097995545657015</v>
      </c>
      <c r="Y485" s="6">
        <f>IFERROR(VALUE(SUBSTITUTE(SUBSTITUTE(SalesData[[#This Row],[Sales]],"$",""),",",""))/SalesData[[#This Row],[Quantity]],0)</f>
        <v>12.828571428571427</v>
      </c>
      <c r="Z485">
        <f>YEAR(SalesData[[#This Row],[Order Date]])</f>
        <v>2024</v>
      </c>
      <c r="AA485" t="str">
        <f>TEXT(SalesData[[#This Row],[Order Date]],"mmm")</f>
        <v>Jun</v>
      </c>
      <c r="AB48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86" spans="1:28">
      <c r="A486">
        <v>374</v>
      </c>
      <c r="B486" t="s">
        <v>2778</v>
      </c>
      <c r="C486" s="1">
        <v>45448</v>
      </c>
      <c r="D486" s="1">
        <v>45452</v>
      </c>
      <c r="E486" t="s">
        <v>49</v>
      </c>
      <c r="F486" t="s">
        <v>2779</v>
      </c>
      <c r="G486" t="s">
        <v>300</v>
      </c>
      <c r="H486" t="s">
        <v>25</v>
      </c>
      <c r="I486" t="s">
        <v>26</v>
      </c>
      <c r="J486" t="s">
        <v>212</v>
      </c>
      <c r="K486" t="s">
        <v>212</v>
      </c>
      <c r="L486">
        <v>41362</v>
      </c>
      <c r="M486" t="s">
        <v>28</v>
      </c>
      <c r="N486" t="s">
        <v>499</v>
      </c>
      <c r="O486" t="s">
        <v>30</v>
      </c>
      <c r="P486" t="s">
        <v>120</v>
      </c>
      <c r="Q486" t="s">
        <v>365</v>
      </c>
      <c r="R486" t="s">
        <v>2780</v>
      </c>
      <c r="S486">
        <v>1</v>
      </c>
      <c r="T486" s="2">
        <v>0</v>
      </c>
      <c r="U486" t="s">
        <v>2781</v>
      </c>
      <c r="V486" t="str">
        <f>CHOOSE(MOD(SalesData[[#This Row],[Row ID]]-1,8)+1,"Aarav Sharma","Ananya Singh","Rohan Verma","Priya Gupta","Arjun Mehta","Neha Kapoor","Rahul Joshi","Sneha Patel")</f>
        <v>Neha Kapoor</v>
      </c>
      <c r="W48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86" s="8">
        <f>IFERROR(VALUE(SUBSTITUTE(SUBSTITUTE(SalesData[[#This Row],[Profit]],"$",""),",",""))/VALUE(SUBSTITUTE(SUBSTITUTE(SalesData[[#This Row],[Sales]],"$",""),",","")),0)</f>
        <v>0.16220981486923303</v>
      </c>
      <c r="Y486" s="6">
        <f>IFERROR(VALUE(SUBSTITUTE(SUBSTITUTE(SalesData[[#This Row],[Sales]],"$",""),",",""))/SalesData[[#This Row],[Quantity]],0)</f>
        <v>170.15</v>
      </c>
      <c r="Z486">
        <f>YEAR(SalesData[[#This Row],[Order Date]])</f>
        <v>2024</v>
      </c>
      <c r="AA486" t="str">
        <f>TEXT(SalesData[[#This Row],[Order Date]],"mmm")</f>
        <v>Jun</v>
      </c>
      <c r="AB48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87" spans="1:28">
      <c r="A487">
        <v>282</v>
      </c>
      <c r="B487" t="s">
        <v>2782</v>
      </c>
      <c r="C487" s="1">
        <v>45451</v>
      </c>
      <c r="D487" s="1">
        <v>45453</v>
      </c>
      <c r="E487" t="s">
        <v>36</v>
      </c>
      <c r="F487" t="s">
        <v>2783</v>
      </c>
      <c r="G487" t="s">
        <v>195</v>
      </c>
      <c r="H487" t="s">
        <v>25</v>
      </c>
      <c r="I487" t="s">
        <v>26</v>
      </c>
      <c r="J487" t="s">
        <v>72</v>
      </c>
      <c r="K487" t="s">
        <v>72</v>
      </c>
      <c r="L487">
        <v>52674</v>
      </c>
      <c r="M487" t="s">
        <v>73</v>
      </c>
      <c r="N487" t="s">
        <v>2784</v>
      </c>
      <c r="O487" t="s">
        <v>30</v>
      </c>
      <c r="P487" t="s">
        <v>222</v>
      </c>
      <c r="Q487" t="s">
        <v>2785</v>
      </c>
      <c r="R487" t="s">
        <v>2786</v>
      </c>
      <c r="S487">
        <v>7</v>
      </c>
      <c r="T487" s="2">
        <v>0.3</v>
      </c>
      <c r="U487" t="s">
        <v>2787</v>
      </c>
      <c r="V487" t="str">
        <f>CHOOSE(MOD(SalesData[[#This Row],[Row ID]]-1,8)+1,"Aarav Sharma","Ananya Singh","Rohan Verma","Priya Gupta","Arjun Mehta","Neha Kapoor","Rahul Joshi","Sneha Patel")</f>
        <v>Ananya Singh</v>
      </c>
      <c r="W48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87" s="8">
        <f>IFERROR(VALUE(SUBSTITUTE(SUBSTITUTE(SalesData[[#This Row],[Profit]],"$",""),",",""))/VALUE(SUBSTITUTE(SUBSTITUTE(SalesData[[#This Row],[Sales]],"$",""),",","")),0)</f>
        <v>-7.7278699693415734E-2</v>
      </c>
      <c r="Y487" s="6">
        <f>IFERROR(VALUE(SUBSTITUTE(SUBSTITUTE(SalesData[[#This Row],[Sales]],"$",""),",",""))/SalesData[[#This Row],[Quantity]],0)</f>
        <v>29.355714285714289</v>
      </c>
      <c r="Z487">
        <f>YEAR(SalesData[[#This Row],[Order Date]])</f>
        <v>2024</v>
      </c>
      <c r="AA487" t="str">
        <f>TEXT(SalesData[[#This Row],[Order Date]],"mmm")</f>
        <v>Jun</v>
      </c>
      <c r="AB48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88" spans="1:28">
      <c r="A488">
        <v>577</v>
      </c>
      <c r="B488" t="s">
        <v>2788</v>
      </c>
      <c r="C488" s="1">
        <v>45453</v>
      </c>
      <c r="D488" s="1">
        <v>45457</v>
      </c>
      <c r="E488" t="s">
        <v>36</v>
      </c>
      <c r="F488" t="s">
        <v>2789</v>
      </c>
      <c r="G488" t="s">
        <v>1219</v>
      </c>
      <c r="H488" t="s">
        <v>25</v>
      </c>
      <c r="I488" t="s">
        <v>26</v>
      </c>
      <c r="J488" t="s">
        <v>237</v>
      </c>
      <c r="K488" t="s">
        <v>237</v>
      </c>
      <c r="L488">
        <v>71836</v>
      </c>
      <c r="M488" t="s">
        <v>41</v>
      </c>
      <c r="N488" t="s">
        <v>412</v>
      </c>
      <c r="O488" t="s">
        <v>64</v>
      </c>
      <c r="P488" t="s">
        <v>136</v>
      </c>
      <c r="Q488" t="s">
        <v>1680</v>
      </c>
      <c r="R488" t="s">
        <v>2790</v>
      </c>
      <c r="S488">
        <v>5</v>
      </c>
      <c r="T488" s="2">
        <v>0.15</v>
      </c>
      <c r="U488" t="s">
        <v>2791</v>
      </c>
      <c r="V488" t="str">
        <f>CHOOSE(MOD(SalesData[[#This Row],[Row ID]]-1,8)+1,"Aarav Sharma","Ananya Singh","Rohan Verma","Priya Gupta","Arjun Mehta","Neha Kapoor","Rahul Joshi","Sneha Patel")</f>
        <v>Aarav Sharma</v>
      </c>
      <c r="W48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88" s="8">
        <f>IFERROR(VALUE(SUBSTITUTE(SUBSTITUTE(SalesData[[#This Row],[Profit]],"$",""),",",""))/VALUE(SUBSTITUTE(SUBSTITUTE(SalesData[[#This Row],[Sales]],"$",""),",","")),0)</f>
        <v>0.10716831824338775</v>
      </c>
      <c r="Y488" s="6">
        <f>IFERROR(VALUE(SUBSTITUTE(SUBSTITUTE(SalesData[[#This Row],[Sales]],"$",""),",",""))/SalesData[[#This Row],[Quantity]],0)</f>
        <v>112.21600000000001</v>
      </c>
      <c r="Z488">
        <f>YEAR(SalesData[[#This Row],[Order Date]])</f>
        <v>2024</v>
      </c>
      <c r="AA488" t="str">
        <f>TEXT(SalesData[[#This Row],[Order Date]],"mmm")</f>
        <v>Jun</v>
      </c>
      <c r="AB48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489" spans="1:28">
      <c r="A489">
        <v>490</v>
      </c>
      <c r="B489" t="s">
        <v>2792</v>
      </c>
      <c r="C489" s="1">
        <v>45454</v>
      </c>
      <c r="D489" s="1">
        <v>45458</v>
      </c>
      <c r="E489" t="s">
        <v>36</v>
      </c>
      <c r="F489" t="s">
        <v>2793</v>
      </c>
      <c r="G489" t="s">
        <v>300</v>
      </c>
      <c r="H489" t="s">
        <v>25</v>
      </c>
      <c r="I489" t="s">
        <v>26</v>
      </c>
      <c r="J489" t="s">
        <v>96</v>
      </c>
      <c r="K489" t="s">
        <v>96</v>
      </c>
      <c r="L489">
        <v>53151</v>
      </c>
      <c r="M489" t="s">
        <v>28</v>
      </c>
      <c r="N489" t="s">
        <v>2794</v>
      </c>
      <c r="O489" t="s">
        <v>64</v>
      </c>
      <c r="P489" t="s">
        <v>405</v>
      </c>
      <c r="Q489" t="s">
        <v>2551</v>
      </c>
      <c r="R489" t="s">
        <v>2795</v>
      </c>
      <c r="S489">
        <v>6</v>
      </c>
      <c r="T489" s="2">
        <v>0.05</v>
      </c>
      <c r="U489" t="s">
        <v>2796</v>
      </c>
      <c r="V489" t="str">
        <f>CHOOSE(MOD(SalesData[[#This Row],[Row ID]]-1,8)+1,"Aarav Sharma","Ananya Singh","Rohan Verma","Priya Gupta","Arjun Mehta","Neha Kapoor","Rahul Joshi","Sneha Patel")</f>
        <v>Ananya Singh</v>
      </c>
      <c r="W48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89" s="8">
        <f>IFERROR(VALUE(SUBSTITUTE(SUBSTITUTE(SalesData[[#This Row],[Profit]],"$",""),",",""))/VALUE(SUBSTITUTE(SUBSTITUTE(SalesData[[#This Row],[Sales]],"$",""),",","")),0)</f>
        <v>0.21235159950874322</v>
      </c>
      <c r="Y489" s="6">
        <f>IFERROR(VALUE(SUBSTITUTE(SUBSTITUTE(SalesData[[#This Row],[Sales]],"$",""),",",""))/SalesData[[#This Row],[Quantity]],0)</f>
        <v>56.99666666666667</v>
      </c>
      <c r="Z489">
        <f>YEAR(SalesData[[#This Row],[Order Date]])</f>
        <v>2024</v>
      </c>
      <c r="AA489" t="str">
        <f>TEXT(SalesData[[#This Row],[Order Date]],"mmm")</f>
        <v>Jun</v>
      </c>
      <c r="AB48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90" spans="1:28">
      <c r="A490">
        <v>505</v>
      </c>
      <c r="B490" t="s">
        <v>2797</v>
      </c>
      <c r="C490" s="1">
        <v>45459</v>
      </c>
      <c r="D490" s="1">
        <v>45463</v>
      </c>
      <c r="E490" t="s">
        <v>36</v>
      </c>
      <c r="F490" t="s">
        <v>2798</v>
      </c>
      <c r="G490" t="s">
        <v>587</v>
      </c>
      <c r="H490" t="s">
        <v>60</v>
      </c>
      <c r="I490" t="s">
        <v>26</v>
      </c>
      <c r="J490" t="s">
        <v>150</v>
      </c>
      <c r="K490" t="s">
        <v>150</v>
      </c>
      <c r="L490">
        <v>75206</v>
      </c>
      <c r="M490" t="s">
        <v>73</v>
      </c>
      <c r="N490" t="s">
        <v>433</v>
      </c>
      <c r="O490" t="s">
        <v>43</v>
      </c>
      <c r="P490" t="s">
        <v>166</v>
      </c>
      <c r="Q490" t="s">
        <v>2799</v>
      </c>
      <c r="R490" t="s">
        <v>2800</v>
      </c>
      <c r="S490">
        <v>3</v>
      </c>
      <c r="T490" s="2">
        <v>0</v>
      </c>
      <c r="U490" t="s">
        <v>2801</v>
      </c>
      <c r="V490" t="str">
        <f>CHOOSE(MOD(SalesData[[#This Row],[Row ID]]-1,8)+1,"Aarav Sharma","Ananya Singh","Rohan Verma","Priya Gupta","Arjun Mehta","Neha Kapoor","Rahul Joshi","Sneha Patel")</f>
        <v>Aarav Sharma</v>
      </c>
      <c r="W49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90" s="8">
        <f>IFERROR(VALUE(SUBSTITUTE(SUBSTITUTE(SalesData[[#This Row],[Profit]],"$",""),",",""))/VALUE(SUBSTITUTE(SUBSTITUTE(SalesData[[#This Row],[Sales]],"$",""),",","")),0)</f>
        <v>0.27512490785486121</v>
      </c>
      <c r="Y490" s="6">
        <f>IFERROR(VALUE(SUBSTITUTE(SUBSTITUTE(SalesData[[#This Row],[Sales]],"$",""),",",""))/SalesData[[#This Row],[Quantity]],0)</f>
        <v>40.696666666666665</v>
      </c>
      <c r="Z490">
        <f>YEAR(SalesData[[#This Row],[Order Date]])</f>
        <v>2024</v>
      </c>
      <c r="AA490" t="str">
        <f>TEXT(SalesData[[#This Row],[Order Date]],"mmm")</f>
        <v>Jun</v>
      </c>
      <c r="AB49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91" spans="1:28">
      <c r="A491">
        <v>212</v>
      </c>
      <c r="B491" t="s">
        <v>2802</v>
      </c>
      <c r="C491" s="1">
        <v>45460</v>
      </c>
      <c r="D491" s="1">
        <v>45461</v>
      </c>
      <c r="E491" t="s">
        <v>36</v>
      </c>
      <c r="F491" t="s">
        <v>2803</v>
      </c>
      <c r="G491" t="s">
        <v>909</v>
      </c>
      <c r="H491" t="s">
        <v>60</v>
      </c>
      <c r="I491" t="s">
        <v>26</v>
      </c>
      <c r="J491" t="s">
        <v>641</v>
      </c>
      <c r="K491" t="s">
        <v>641</v>
      </c>
      <c r="L491">
        <v>16476</v>
      </c>
      <c r="M491" t="s">
        <v>62</v>
      </c>
      <c r="N491" t="s">
        <v>2804</v>
      </c>
      <c r="O491" t="s">
        <v>43</v>
      </c>
      <c r="P491" t="s">
        <v>128</v>
      </c>
      <c r="Q491" t="s">
        <v>1094</v>
      </c>
      <c r="R491" t="s">
        <v>2805</v>
      </c>
      <c r="S491">
        <v>4</v>
      </c>
      <c r="T491" s="2">
        <v>0.3</v>
      </c>
      <c r="U491" t="s">
        <v>2806</v>
      </c>
      <c r="V491" t="str">
        <f>CHOOSE(MOD(SalesData[[#This Row],[Row ID]]-1,8)+1,"Aarav Sharma","Ananya Singh","Rohan Verma","Priya Gupta","Arjun Mehta","Neha Kapoor","Rahul Joshi","Sneha Patel")</f>
        <v>Priya Gupta</v>
      </c>
      <c r="W49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91" s="8">
        <f>IFERROR(VALUE(SUBSTITUTE(SUBSTITUTE(SalesData[[#This Row],[Profit]],"$",""),",",""))/VALUE(SUBSTITUTE(SUBSTITUTE(SalesData[[#This Row],[Sales]],"$",""),",","")),0)</f>
        <v>2.6183549325575244E-2</v>
      </c>
      <c r="Y491" s="6">
        <f>IFERROR(VALUE(SUBSTITUTE(SUBSTITUTE(SalesData[[#This Row],[Sales]],"$",""),",",""))/SalesData[[#This Row],[Quantity]],0)</f>
        <v>9.4525000000000006</v>
      </c>
      <c r="Z491">
        <f>YEAR(SalesData[[#This Row],[Order Date]])</f>
        <v>2024</v>
      </c>
      <c r="AA491" t="str">
        <f>TEXT(SalesData[[#This Row],[Order Date]],"mmm")</f>
        <v>Jun</v>
      </c>
      <c r="AB49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92" spans="1:28">
      <c r="A492">
        <v>525</v>
      </c>
      <c r="B492" t="s">
        <v>2807</v>
      </c>
      <c r="C492" s="1">
        <v>45462</v>
      </c>
      <c r="D492" s="1">
        <v>45463</v>
      </c>
      <c r="E492" t="s">
        <v>36</v>
      </c>
      <c r="F492" t="s">
        <v>2808</v>
      </c>
      <c r="G492" t="s">
        <v>1166</v>
      </c>
      <c r="H492" t="s">
        <v>25</v>
      </c>
      <c r="I492" t="s">
        <v>26</v>
      </c>
      <c r="J492" t="s">
        <v>260</v>
      </c>
      <c r="K492" t="s">
        <v>260</v>
      </c>
      <c r="L492">
        <v>21322</v>
      </c>
      <c r="M492" t="s">
        <v>41</v>
      </c>
      <c r="N492" t="s">
        <v>2809</v>
      </c>
      <c r="O492" t="s">
        <v>43</v>
      </c>
      <c r="P492" t="s">
        <v>166</v>
      </c>
      <c r="Q492" t="s">
        <v>2810</v>
      </c>
      <c r="R492" t="s">
        <v>2811</v>
      </c>
      <c r="S492">
        <v>3</v>
      </c>
      <c r="T492" s="2">
        <v>0.05</v>
      </c>
      <c r="U492" t="s">
        <v>2812</v>
      </c>
      <c r="V492" t="str">
        <f>CHOOSE(MOD(SalesData[[#This Row],[Row ID]]-1,8)+1,"Aarav Sharma","Ananya Singh","Rohan Verma","Priya Gupta","Arjun Mehta","Neha Kapoor","Rahul Joshi","Sneha Patel")</f>
        <v>Arjun Mehta</v>
      </c>
      <c r="W49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492" s="8">
        <f>IFERROR(VALUE(SUBSTITUTE(SUBSTITUTE(SalesData[[#This Row],[Profit]],"$",""),",",""))/VALUE(SUBSTITUTE(SUBSTITUTE(SalesData[[#This Row],[Sales]],"$",""),",","")),0)</f>
        <v>0.19424743892828999</v>
      </c>
      <c r="Y492" s="6">
        <f>IFERROR(VALUE(SUBSTITUTE(SUBSTITUTE(SalesData[[#This Row],[Sales]],"$",""),",",""))/SalesData[[#This Row],[Quantity]],0)</f>
        <v>8.4599999999999991</v>
      </c>
      <c r="Z492">
        <f>YEAR(SalesData[[#This Row],[Order Date]])</f>
        <v>2024</v>
      </c>
      <c r="AA492" t="str">
        <f>TEXT(SalesData[[#This Row],[Order Date]],"mmm")</f>
        <v>Jun</v>
      </c>
      <c r="AB49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493" spans="1:28">
      <c r="A493">
        <v>511</v>
      </c>
      <c r="B493" t="s">
        <v>2813</v>
      </c>
      <c r="C493" s="1">
        <v>45463</v>
      </c>
      <c r="D493" s="1">
        <v>45466</v>
      </c>
      <c r="E493" t="s">
        <v>22</v>
      </c>
      <c r="F493" t="s">
        <v>2814</v>
      </c>
      <c r="G493" t="s">
        <v>1429</v>
      </c>
      <c r="H493" t="s">
        <v>60</v>
      </c>
      <c r="I493" t="s">
        <v>26</v>
      </c>
      <c r="J493" t="s">
        <v>245</v>
      </c>
      <c r="K493" t="s">
        <v>245</v>
      </c>
      <c r="L493">
        <v>93346</v>
      </c>
      <c r="M493" t="s">
        <v>41</v>
      </c>
      <c r="N493" t="s">
        <v>1652</v>
      </c>
      <c r="O493" t="s">
        <v>43</v>
      </c>
      <c r="P493" t="s">
        <v>44</v>
      </c>
      <c r="Q493" t="s">
        <v>90</v>
      </c>
      <c r="R493" t="s">
        <v>2815</v>
      </c>
      <c r="S493">
        <v>4</v>
      </c>
      <c r="T493" s="2">
        <v>0.5</v>
      </c>
      <c r="U493" t="s">
        <v>2816</v>
      </c>
      <c r="V493" t="str">
        <f>CHOOSE(MOD(SalesData[[#This Row],[Row ID]]-1,8)+1,"Aarav Sharma","Ananya Singh","Rohan Verma","Priya Gupta","Arjun Mehta","Neha Kapoor","Rahul Joshi","Sneha Patel")</f>
        <v>Rahul Joshi</v>
      </c>
      <c r="W49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93" s="8">
        <f>IFERROR(VALUE(SUBSTITUTE(SUBSTITUTE(SalesData[[#This Row],[Profit]],"$",""),",",""))/VALUE(SUBSTITUTE(SUBSTITUTE(SalesData[[#This Row],[Sales]],"$",""),",","")),0)</f>
        <v>-0.14317673378076062</v>
      </c>
      <c r="Y493" s="6">
        <f>IFERROR(VALUE(SUBSTITUTE(SUBSTITUTE(SalesData[[#This Row],[Sales]],"$",""),",",""))/SalesData[[#This Row],[Quantity]],0)</f>
        <v>5.5875000000000004</v>
      </c>
      <c r="Z493">
        <f>YEAR(SalesData[[#This Row],[Order Date]])</f>
        <v>2024</v>
      </c>
      <c r="AA493" t="str">
        <f>TEXT(SalesData[[#This Row],[Order Date]],"mmm")</f>
        <v>Jun</v>
      </c>
      <c r="AB49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94" spans="1:28">
      <c r="A494">
        <v>398</v>
      </c>
      <c r="B494" t="s">
        <v>2817</v>
      </c>
      <c r="C494" s="1">
        <v>45466</v>
      </c>
      <c r="D494" s="1">
        <v>45472</v>
      </c>
      <c r="E494" t="s">
        <v>36</v>
      </c>
      <c r="F494" t="s">
        <v>2818</v>
      </c>
      <c r="G494" t="s">
        <v>172</v>
      </c>
      <c r="H494" t="s">
        <v>25</v>
      </c>
      <c r="I494" t="s">
        <v>26</v>
      </c>
      <c r="J494" t="s">
        <v>40</v>
      </c>
      <c r="K494" t="s">
        <v>40</v>
      </c>
      <c r="L494">
        <v>13771</v>
      </c>
      <c r="M494" t="s">
        <v>41</v>
      </c>
      <c r="N494" t="s">
        <v>2819</v>
      </c>
      <c r="O494" t="s">
        <v>43</v>
      </c>
      <c r="P494" t="s">
        <v>166</v>
      </c>
      <c r="Q494" t="s">
        <v>972</v>
      </c>
      <c r="R494" t="s">
        <v>2820</v>
      </c>
      <c r="S494">
        <v>1</v>
      </c>
      <c r="T494" s="2">
        <v>0.2</v>
      </c>
      <c r="U494" t="s">
        <v>468</v>
      </c>
      <c r="V494" t="str">
        <f>CHOOSE(MOD(SalesData[[#This Row],[Row ID]]-1,8)+1,"Aarav Sharma","Ananya Singh","Rohan Verma","Priya Gupta","Arjun Mehta","Neha Kapoor","Rahul Joshi","Sneha Patel")</f>
        <v>Neha Kapoor</v>
      </c>
      <c r="W49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94" s="8">
        <f>IFERROR(VALUE(SUBSTITUTE(SUBSTITUTE(SalesData[[#This Row],[Profit]],"$",""),",",""))/VALUE(SUBSTITUTE(SUBSTITUTE(SalesData[[#This Row],[Sales]],"$",""),",","")),0)</f>
        <v>2.4506873879258814E-2</v>
      </c>
      <c r="Y494" s="6">
        <f>IFERROR(VALUE(SUBSTITUTE(SUBSTITUTE(SalesData[[#This Row],[Sales]],"$",""),",",""))/SalesData[[#This Row],[Quantity]],0)</f>
        <v>83.65</v>
      </c>
      <c r="Z494">
        <f>YEAR(SalesData[[#This Row],[Order Date]])</f>
        <v>2024</v>
      </c>
      <c r="AA494" t="str">
        <f>TEXT(SalesData[[#This Row],[Order Date]],"mmm")</f>
        <v>Jun</v>
      </c>
      <c r="AB49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95" spans="1:28">
      <c r="A495">
        <v>228</v>
      </c>
      <c r="B495" t="s">
        <v>2821</v>
      </c>
      <c r="C495" s="1">
        <v>45467</v>
      </c>
      <c r="D495" s="1">
        <v>45468</v>
      </c>
      <c r="E495" t="s">
        <v>36</v>
      </c>
      <c r="F495" t="s">
        <v>2822</v>
      </c>
      <c r="G495" t="s">
        <v>432</v>
      </c>
      <c r="H495" t="s">
        <v>60</v>
      </c>
      <c r="I495" t="s">
        <v>26</v>
      </c>
      <c r="J495" t="s">
        <v>40</v>
      </c>
      <c r="K495" t="s">
        <v>40</v>
      </c>
      <c r="L495">
        <v>25408</v>
      </c>
      <c r="M495" t="s">
        <v>41</v>
      </c>
      <c r="N495" t="s">
        <v>2823</v>
      </c>
      <c r="O495" t="s">
        <v>30</v>
      </c>
      <c r="P495" t="s">
        <v>222</v>
      </c>
      <c r="Q495" t="s">
        <v>2824</v>
      </c>
      <c r="R495" t="s">
        <v>2825</v>
      </c>
      <c r="S495">
        <v>3</v>
      </c>
      <c r="T495" s="2">
        <v>0.1</v>
      </c>
      <c r="U495" t="s">
        <v>2826</v>
      </c>
      <c r="V495" t="str">
        <f>CHOOSE(MOD(SalesData[[#This Row],[Row ID]]-1,8)+1,"Aarav Sharma","Ananya Singh","Rohan Verma","Priya Gupta","Arjun Mehta","Neha Kapoor","Rahul Joshi","Sneha Patel")</f>
        <v>Priya Gupta</v>
      </c>
      <c r="W49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95" s="8">
        <f>IFERROR(VALUE(SUBSTITUTE(SUBSTITUTE(SalesData[[#This Row],[Profit]],"$",""),",",""))/VALUE(SUBSTITUTE(SUBSTITUTE(SalesData[[#This Row],[Sales]],"$",""),",","")),0)</f>
        <v>2.4325002089776813E-2</v>
      </c>
      <c r="Y495" s="6">
        <f>IFERROR(VALUE(SUBSTITUTE(SUBSTITUTE(SalesData[[#This Row],[Sales]],"$",""),",",""))/SalesData[[#This Row],[Quantity]],0)</f>
        <v>39.876666666666665</v>
      </c>
      <c r="Z495">
        <f>YEAR(SalesData[[#This Row],[Order Date]])</f>
        <v>2024</v>
      </c>
      <c r="AA495" t="str">
        <f>TEXT(SalesData[[#This Row],[Order Date]],"mmm")</f>
        <v>Jun</v>
      </c>
      <c r="AB49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96" spans="1:28">
      <c r="A496">
        <v>162</v>
      </c>
      <c r="B496" t="s">
        <v>2827</v>
      </c>
      <c r="C496" s="1">
        <v>45467</v>
      </c>
      <c r="D496" s="1">
        <v>45469</v>
      </c>
      <c r="E496" t="s">
        <v>36</v>
      </c>
      <c r="F496" t="s">
        <v>1440</v>
      </c>
      <c r="G496" t="s">
        <v>1117</v>
      </c>
      <c r="H496" t="s">
        <v>39</v>
      </c>
      <c r="I496" t="s">
        <v>26</v>
      </c>
      <c r="J496" t="s">
        <v>61</v>
      </c>
      <c r="K496" t="s">
        <v>61</v>
      </c>
      <c r="L496">
        <v>22866</v>
      </c>
      <c r="M496" t="s">
        <v>62</v>
      </c>
      <c r="N496" t="s">
        <v>581</v>
      </c>
      <c r="O496" t="s">
        <v>43</v>
      </c>
      <c r="P496" t="s">
        <v>83</v>
      </c>
      <c r="Q496" t="s">
        <v>2828</v>
      </c>
      <c r="R496" t="s">
        <v>2829</v>
      </c>
      <c r="S496">
        <v>3</v>
      </c>
      <c r="T496" s="2">
        <v>0.5</v>
      </c>
      <c r="U496" t="s">
        <v>2830</v>
      </c>
      <c r="V496" t="str">
        <f>CHOOSE(MOD(SalesData[[#This Row],[Row ID]]-1,8)+1,"Aarav Sharma","Ananya Singh","Rohan Verma","Priya Gupta","Arjun Mehta","Neha Kapoor","Rahul Joshi","Sneha Patel")</f>
        <v>Ananya Singh</v>
      </c>
      <c r="W49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496" s="8">
        <f>IFERROR(VALUE(SUBSTITUTE(SUBSTITUTE(SalesData[[#This Row],[Profit]],"$",""),",",""))/VALUE(SUBSTITUTE(SUBSTITUTE(SalesData[[#This Row],[Sales]],"$",""),",","")),0)</f>
        <v>-9.7086483496219803E-2</v>
      </c>
      <c r="Y496" s="6">
        <f>IFERROR(VALUE(SUBSTITUTE(SUBSTITUTE(SalesData[[#This Row],[Sales]],"$",""),",",""))/SalesData[[#This Row],[Quantity]],0)</f>
        <v>36.153333333333329</v>
      </c>
      <c r="Z496">
        <f>YEAR(SalesData[[#This Row],[Order Date]])</f>
        <v>2024</v>
      </c>
      <c r="AA496" t="str">
        <f>TEXT(SalesData[[#This Row],[Order Date]],"mmm")</f>
        <v>Jun</v>
      </c>
      <c r="AB49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97" spans="1:28">
      <c r="A497">
        <v>99</v>
      </c>
      <c r="B497" t="s">
        <v>2831</v>
      </c>
      <c r="C497" s="1">
        <v>45470</v>
      </c>
      <c r="D497" s="1">
        <v>45472</v>
      </c>
      <c r="E497" t="s">
        <v>22</v>
      </c>
      <c r="F497" t="s">
        <v>2832</v>
      </c>
      <c r="G497" t="s">
        <v>677</v>
      </c>
      <c r="H497" t="s">
        <v>25</v>
      </c>
      <c r="I497" t="s">
        <v>26</v>
      </c>
      <c r="J497" t="s">
        <v>40</v>
      </c>
      <c r="K497" t="s">
        <v>40</v>
      </c>
      <c r="L497">
        <v>75429</v>
      </c>
      <c r="M497" t="s">
        <v>41</v>
      </c>
      <c r="N497" t="s">
        <v>294</v>
      </c>
      <c r="O497" t="s">
        <v>30</v>
      </c>
      <c r="P497" t="s">
        <v>197</v>
      </c>
      <c r="Q497" t="s">
        <v>2052</v>
      </c>
      <c r="R497" t="s">
        <v>2833</v>
      </c>
      <c r="S497">
        <v>5</v>
      </c>
      <c r="T497" s="2">
        <v>0.2</v>
      </c>
      <c r="U497" t="s">
        <v>2834</v>
      </c>
      <c r="V497" t="str">
        <f>CHOOSE(MOD(SalesData[[#This Row],[Row ID]]-1,8)+1,"Aarav Sharma","Ananya Singh","Rohan Verma","Priya Gupta","Arjun Mehta","Neha Kapoor","Rahul Joshi","Sneha Patel")</f>
        <v>Rohan Verma</v>
      </c>
      <c r="W49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97" s="8">
        <f>IFERROR(VALUE(SUBSTITUTE(SUBSTITUTE(SalesData[[#This Row],[Profit]],"$",""),",",""))/VALUE(SUBSTITUTE(SUBSTITUTE(SalesData[[#This Row],[Sales]],"$",""),",","")),0)</f>
        <v>-8.3927709551134232E-3</v>
      </c>
      <c r="Y497" s="6">
        <f>IFERROR(VALUE(SUBSTITUTE(SUBSTITUTE(SalesData[[#This Row],[Sales]],"$",""),",",""))/SalesData[[#This Row],[Quantity]],0)</f>
        <v>74.587999999999994</v>
      </c>
      <c r="Z497">
        <f>YEAR(SalesData[[#This Row],[Order Date]])</f>
        <v>2024</v>
      </c>
      <c r="AA497" t="str">
        <f>TEXT(SalesData[[#This Row],[Order Date]],"mmm")</f>
        <v>Jun</v>
      </c>
      <c r="AB49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98" spans="1:28">
      <c r="A498">
        <v>164</v>
      </c>
      <c r="B498" t="s">
        <v>2835</v>
      </c>
      <c r="C498" s="1">
        <v>45471</v>
      </c>
      <c r="D498" s="1">
        <v>45475</v>
      </c>
      <c r="E498" t="s">
        <v>36</v>
      </c>
      <c r="F498" t="s">
        <v>2836</v>
      </c>
      <c r="G498" t="s">
        <v>2309</v>
      </c>
      <c r="H498" t="s">
        <v>60</v>
      </c>
      <c r="I498" t="s">
        <v>26</v>
      </c>
      <c r="J498" t="s">
        <v>229</v>
      </c>
      <c r="K498" t="s">
        <v>229</v>
      </c>
      <c r="L498">
        <v>73671</v>
      </c>
      <c r="M498" t="s">
        <v>73</v>
      </c>
      <c r="N498" t="s">
        <v>2314</v>
      </c>
      <c r="O498" t="s">
        <v>43</v>
      </c>
      <c r="P498" t="s">
        <v>44</v>
      </c>
      <c r="Q498" t="s">
        <v>853</v>
      </c>
      <c r="R498" t="s">
        <v>2837</v>
      </c>
      <c r="S498">
        <v>7</v>
      </c>
      <c r="T498" s="2">
        <v>0.3</v>
      </c>
      <c r="U498" t="s">
        <v>2838</v>
      </c>
      <c r="V498" t="str">
        <f>CHOOSE(MOD(SalesData[[#This Row],[Row ID]]-1,8)+1,"Aarav Sharma","Ananya Singh","Rohan Verma","Priya Gupta","Arjun Mehta","Neha Kapoor","Rahul Joshi","Sneha Patel")</f>
        <v>Priya Gupta</v>
      </c>
      <c r="W49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498" s="8">
        <f>IFERROR(VALUE(SUBSTITUTE(SUBSTITUTE(SalesData[[#This Row],[Profit]],"$",""),",",""))/VALUE(SUBSTITUTE(SUBSTITUTE(SalesData[[#This Row],[Sales]],"$",""),",","")),0)</f>
        <v>1.396276595744681E-2</v>
      </c>
      <c r="Y498" s="6">
        <f>IFERROR(VALUE(SUBSTITUTE(SUBSTITUTE(SalesData[[#This Row],[Sales]],"$",""),",",""))/SalesData[[#This Row],[Quantity]],0)</f>
        <v>4.2971428571428572</v>
      </c>
      <c r="Z498">
        <f>YEAR(SalesData[[#This Row],[Order Date]])</f>
        <v>2024</v>
      </c>
      <c r="AA498" t="str">
        <f>TEXT(SalesData[[#This Row],[Order Date]],"mmm")</f>
        <v>Jun</v>
      </c>
      <c r="AB49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499" spans="1:28">
      <c r="A499">
        <v>151</v>
      </c>
      <c r="B499" t="s">
        <v>2839</v>
      </c>
      <c r="C499" s="1">
        <v>45471</v>
      </c>
      <c r="D499" s="1">
        <v>45475</v>
      </c>
      <c r="E499" t="s">
        <v>49</v>
      </c>
      <c r="F499" t="s">
        <v>2840</v>
      </c>
      <c r="G499" t="s">
        <v>492</v>
      </c>
      <c r="H499" t="s">
        <v>60</v>
      </c>
      <c r="I499" t="s">
        <v>26</v>
      </c>
      <c r="J499" t="s">
        <v>157</v>
      </c>
      <c r="K499" t="s">
        <v>157</v>
      </c>
      <c r="L499">
        <v>12282</v>
      </c>
      <c r="M499" t="s">
        <v>62</v>
      </c>
      <c r="N499" t="s">
        <v>2841</v>
      </c>
      <c r="O499" t="s">
        <v>30</v>
      </c>
      <c r="P499" t="s">
        <v>222</v>
      </c>
      <c r="Q499" t="s">
        <v>596</v>
      </c>
      <c r="R499" t="s">
        <v>2842</v>
      </c>
      <c r="S499">
        <v>5</v>
      </c>
      <c r="T499" s="2">
        <v>0</v>
      </c>
      <c r="U499" t="s">
        <v>2843</v>
      </c>
      <c r="V499" t="str">
        <f>CHOOSE(MOD(SalesData[[#This Row],[Row ID]]-1,8)+1,"Aarav Sharma","Ananya Singh","Rohan Verma","Priya Gupta","Arjun Mehta","Neha Kapoor","Rahul Joshi","Sneha Patel")</f>
        <v>Rahul Joshi</v>
      </c>
      <c r="W49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499" s="8">
        <f>IFERROR(VALUE(SUBSTITUTE(SUBSTITUTE(SalesData[[#This Row],[Profit]],"$",""),",",""))/VALUE(SUBSTITUTE(SUBSTITUTE(SalesData[[#This Row],[Sales]],"$",""),",","")),0)</f>
        <v>0.12354994931861696</v>
      </c>
      <c r="Y499" s="6">
        <f>IFERROR(VALUE(SUBSTITUTE(SUBSTITUTE(SalesData[[#This Row],[Sales]],"$",""),",",""))/SalesData[[#This Row],[Quantity]],0)</f>
        <v>17.758000000000003</v>
      </c>
      <c r="Z499">
        <f>YEAR(SalesData[[#This Row],[Order Date]])</f>
        <v>2024</v>
      </c>
      <c r="AA499" t="str">
        <f>TEXT(SalesData[[#This Row],[Order Date]],"mmm")</f>
        <v>Jun</v>
      </c>
      <c r="AB49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00" spans="1:28">
      <c r="A500">
        <v>59</v>
      </c>
      <c r="B500" t="s">
        <v>2844</v>
      </c>
      <c r="C500" s="1">
        <v>45476</v>
      </c>
      <c r="D500" s="1">
        <v>45479</v>
      </c>
      <c r="E500" t="s">
        <v>36</v>
      </c>
      <c r="F500" t="s">
        <v>2845</v>
      </c>
      <c r="G500" t="s">
        <v>126</v>
      </c>
      <c r="H500" t="s">
        <v>39</v>
      </c>
      <c r="I500" t="s">
        <v>26</v>
      </c>
      <c r="J500" t="s">
        <v>204</v>
      </c>
      <c r="K500" t="s">
        <v>204</v>
      </c>
      <c r="L500">
        <v>72516</v>
      </c>
      <c r="M500" t="s">
        <v>28</v>
      </c>
      <c r="N500" t="s">
        <v>2846</v>
      </c>
      <c r="O500" t="s">
        <v>43</v>
      </c>
      <c r="P500" t="s">
        <v>214</v>
      </c>
      <c r="Q500" t="s">
        <v>2847</v>
      </c>
      <c r="R500" t="s">
        <v>2848</v>
      </c>
      <c r="S500">
        <v>4</v>
      </c>
      <c r="T500" s="2">
        <v>0.2</v>
      </c>
      <c r="U500" t="s">
        <v>2849</v>
      </c>
      <c r="V500" t="str">
        <f>CHOOSE(MOD(SalesData[[#This Row],[Row ID]]-1,8)+1,"Aarav Sharma","Ananya Singh","Rohan Verma","Priya Gupta","Arjun Mehta","Neha Kapoor","Rahul Joshi","Sneha Patel")</f>
        <v>Rohan Verma</v>
      </c>
      <c r="W50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500" s="8">
        <f>IFERROR(VALUE(SUBSTITUTE(SUBSTITUTE(SalesData[[#This Row],[Profit]],"$",""),",",""))/VALUE(SUBSTITUTE(SUBSTITUTE(SalesData[[#This Row],[Sales]],"$",""),",","")),0)</f>
        <v>0.11408321902149063</v>
      </c>
      <c r="Y500" s="6">
        <f>IFERROR(VALUE(SUBSTITUTE(SUBSTITUTE(SalesData[[#This Row],[Sales]],"$",""),",",""))/SalesData[[#This Row],[Quantity]],0)</f>
        <v>10.935</v>
      </c>
      <c r="Z500">
        <f>YEAR(SalesData[[#This Row],[Order Date]])</f>
        <v>2024</v>
      </c>
      <c r="AA500" t="str">
        <f>TEXT(SalesData[[#This Row],[Order Date]],"mmm")</f>
        <v>Jul</v>
      </c>
      <c r="AB50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01" spans="1:28">
      <c r="A501">
        <v>77</v>
      </c>
      <c r="B501" t="s">
        <v>2850</v>
      </c>
      <c r="C501" s="1">
        <v>45477</v>
      </c>
      <c r="D501" s="1">
        <v>45481</v>
      </c>
      <c r="E501" t="s">
        <v>36</v>
      </c>
      <c r="F501" t="s">
        <v>2851</v>
      </c>
      <c r="G501" t="s">
        <v>300</v>
      </c>
      <c r="H501" t="s">
        <v>39</v>
      </c>
      <c r="I501" t="s">
        <v>26</v>
      </c>
      <c r="J501" t="s">
        <v>81</v>
      </c>
      <c r="K501" t="s">
        <v>81</v>
      </c>
      <c r="L501">
        <v>31195</v>
      </c>
      <c r="M501" t="s">
        <v>62</v>
      </c>
      <c r="N501" t="s">
        <v>1712</v>
      </c>
      <c r="O501" t="s">
        <v>64</v>
      </c>
      <c r="P501" t="s">
        <v>105</v>
      </c>
      <c r="Q501" t="s">
        <v>2852</v>
      </c>
      <c r="R501" t="s">
        <v>2853</v>
      </c>
      <c r="S501">
        <v>2</v>
      </c>
      <c r="T501" s="2">
        <v>0.3</v>
      </c>
      <c r="U501" t="s">
        <v>2854</v>
      </c>
      <c r="V501" t="str">
        <f>CHOOSE(MOD(SalesData[[#This Row],[Row ID]]-1,8)+1,"Aarav Sharma","Ananya Singh","Rohan Verma","Priya Gupta","Arjun Mehta","Neha Kapoor","Rahul Joshi","Sneha Patel")</f>
        <v>Arjun Mehta</v>
      </c>
      <c r="W50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01" s="8">
        <f>IFERROR(VALUE(SUBSTITUTE(SUBSTITUTE(SalesData[[#This Row],[Profit]],"$",""),",",""))/VALUE(SUBSTITUTE(SUBSTITUTE(SalesData[[#This Row],[Sales]],"$",""),",","")),0)</f>
        <v>5.8168819562921442E-2</v>
      </c>
      <c r="Y501" s="6">
        <f>IFERROR(VALUE(SUBSTITUTE(SUBSTITUTE(SalesData[[#This Row],[Sales]],"$",""),",",""))/SalesData[[#This Row],[Quantity]],0)</f>
        <v>61.545000000000002</v>
      </c>
      <c r="Z501">
        <f>YEAR(SalesData[[#This Row],[Order Date]])</f>
        <v>2024</v>
      </c>
      <c r="AA501" t="str">
        <f>TEXT(SalesData[[#This Row],[Order Date]],"mmm")</f>
        <v>Jul</v>
      </c>
      <c r="AB50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02" spans="1:28">
      <c r="A502">
        <v>471</v>
      </c>
      <c r="B502" t="s">
        <v>2855</v>
      </c>
      <c r="C502" s="1">
        <v>45477</v>
      </c>
      <c r="D502" s="1">
        <v>45479</v>
      </c>
      <c r="E502" t="s">
        <v>36</v>
      </c>
      <c r="F502" t="s">
        <v>2856</v>
      </c>
      <c r="G502" t="s">
        <v>228</v>
      </c>
      <c r="H502" t="s">
        <v>25</v>
      </c>
      <c r="I502" t="s">
        <v>26</v>
      </c>
      <c r="J502" t="s">
        <v>245</v>
      </c>
      <c r="K502" t="s">
        <v>245</v>
      </c>
      <c r="L502">
        <v>74591</v>
      </c>
      <c r="M502" t="s">
        <v>41</v>
      </c>
      <c r="N502" t="s">
        <v>1414</v>
      </c>
      <c r="O502" t="s">
        <v>30</v>
      </c>
      <c r="P502" t="s">
        <v>120</v>
      </c>
      <c r="Q502" t="s">
        <v>2102</v>
      </c>
      <c r="R502" t="s">
        <v>2857</v>
      </c>
      <c r="S502">
        <v>6</v>
      </c>
      <c r="T502" s="2">
        <v>0.2</v>
      </c>
      <c r="U502" t="s">
        <v>2858</v>
      </c>
      <c r="V502" t="str">
        <f>CHOOSE(MOD(SalesData[[#This Row],[Row ID]]-1,8)+1,"Aarav Sharma","Ananya Singh","Rohan Verma","Priya Gupta","Arjun Mehta","Neha Kapoor","Rahul Joshi","Sneha Patel")</f>
        <v>Rahul Joshi</v>
      </c>
      <c r="W50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502" s="8">
        <f>IFERROR(VALUE(SUBSTITUTE(SUBSTITUTE(SalesData[[#This Row],[Profit]],"$",""),",",""))/VALUE(SUBSTITUTE(SUBSTITUTE(SalesData[[#This Row],[Sales]],"$",""),",","")),0)</f>
        <v>6.4904960593416784E-3</v>
      </c>
      <c r="Y502" s="6">
        <f>IFERROR(VALUE(SUBSTITUTE(SUBSTITUTE(SalesData[[#This Row],[Sales]],"$",""),",",""))/SalesData[[#This Row],[Quantity]],0)</f>
        <v>3.5950000000000002</v>
      </c>
      <c r="Z502">
        <f>YEAR(SalesData[[#This Row],[Order Date]])</f>
        <v>2024</v>
      </c>
      <c r="AA502" t="str">
        <f>TEXT(SalesData[[#This Row],[Order Date]],"mmm")</f>
        <v>Jul</v>
      </c>
      <c r="AB50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03" spans="1:28">
      <c r="A503">
        <v>550</v>
      </c>
      <c r="B503" t="s">
        <v>2859</v>
      </c>
      <c r="C503" s="1">
        <v>45480</v>
      </c>
      <c r="D503" s="1">
        <v>45483</v>
      </c>
      <c r="E503" t="s">
        <v>49</v>
      </c>
      <c r="F503" t="s">
        <v>2860</v>
      </c>
      <c r="G503" t="s">
        <v>95</v>
      </c>
      <c r="H503" t="s">
        <v>25</v>
      </c>
      <c r="I503" t="s">
        <v>26</v>
      </c>
      <c r="J503" t="s">
        <v>212</v>
      </c>
      <c r="K503" t="s">
        <v>212</v>
      </c>
      <c r="L503">
        <v>92238</v>
      </c>
      <c r="M503" t="s">
        <v>28</v>
      </c>
      <c r="N503" t="s">
        <v>2809</v>
      </c>
      <c r="O503" t="s">
        <v>64</v>
      </c>
      <c r="P503" t="s">
        <v>65</v>
      </c>
      <c r="Q503" t="s">
        <v>1902</v>
      </c>
      <c r="R503" t="s">
        <v>2861</v>
      </c>
      <c r="S503">
        <v>7</v>
      </c>
      <c r="T503" s="2">
        <v>0.3</v>
      </c>
      <c r="U503" t="s">
        <v>2862</v>
      </c>
      <c r="V503" t="str">
        <f>CHOOSE(MOD(SalesData[[#This Row],[Row ID]]-1,8)+1,"Aarav Sharma","Ananya Singh","Rohan Verma","Priya Gupta","Arjun Mehta","Neha Kapoor","Rahul Joshi","Sneha Patel")</f>
        <v>Neha Kapoor</v>
      </c>
      <c r="W50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03" s="8">
        <f>IFERROR(VALUE(SUBSTITUTE(SUBSTITUTE(SalesData[[#This Row],[Profit]],"$",""),",",""))/VALUE(SUBSTITUTE(SUBSTITUTE(SalesData[[#This Row],[Sales]],"$",""),",","")),0)</f>
        <v>7.9021970233876679E-2</v>
      </c>
      <c r="Y503" s="6">
        <f>IFERROR(VALUE(SUBSTITUTE(SUBSTITUTE(SalesData[[#This Row],[Sales]],"$",""),",",""))/SalesData[[#This Row],[Quantity]],0)</f>
        <v>4.0314285714285711</v>
      </c>
      <c r="Z503">
        <f>YEAR(SalesData[[#This Row],[Order Date]])</f>
        <v>2024</v>
      </c>
      <c r="AA503" t="str">
        <f>TEXT(SalesData[[#This Row],[Order Date]],"mmm")</f>
        <v>Jul</v>
      </c>
      <c r="AB50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04" spans="1:28">
      <c r="A504">
        <v>221</v>
      </c>
      <c r="B504" t="s">
        <v>2863</v>
      </c>
      <c r="C504" s="1">
        <v>45481</v>
      </c>
      <c r="D504" s="1">
        <v>45485</v>
      </c>
      <c r="E504" t="s">
        <v>22</v>
      </c>
      <c r="F504" t="s">
        <v>2864</v>
      </c>
      <c r="G504" t="s">
        <v>1519</v>
      </c>
      <c r="H504" t="s">
        <v>25</v>
      </c>
      <c r="I504" t="s">
        <v>26</v>
      </c>
      <c r="J504" t="s">
        <v>212</v>
      </c>
      <c r="K504" t="s">
        <v>212</v>
      </c>
      <c r="L504">
        <v>43340</v>
      </c>
      <c r="M504" t="s">
        <v>28</v>
      </c>
      <c r="N504" t="s">
        <v>82</v>
      </c>
      <c r="O504" t="s">
        <v>43</v>
      </c>
      <c r="P504" t="s">
        <v>166</v>
      </c>
      <c r="Q504" t="s">
        <v>2031</v>
      </c>
      <c r="R504" t="s">
        <v>2865</v>
      </c>
      <c r="S504">
        <v>2</v>
      </c>
      <c r="T504" s="2">
        <v>0.1</v>
      </c>
      <c r="U504" t="s">
        <v>2866</v>
      </c>
      <c r="V504" t="str">
        <f>CHOOSE(MOD(SalesData[[#This Row],[Row ID]]-1,8)+1,"Aarav Sharma","Ananya Singh","Rohan Verma","Priya Gupta","Arjun Mehta","Neha Kapoor","Rahul Joshi","Sneha Patel")</f>
        <v>Arjun Mehta</v>
      </c>
      <c r="W50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04" s="8">
        <f>IFERROR(VALUE(SUBSTITUTE(SUBSTITUTE(SalesData[[#This Row],[Profit]],"$",""),",",""))/VALUE(SUBSTITUTE(SUBSTITUTE(SalesData[[#This Row],[Sales]],"$",""),",","")),0)</f>
        <v>0.1488264121743616</v>
      </c>
      <c r="Y504" s="6">
        <f>IFERROR(VALUE(SUBSTITUTE(SUBSTITUTE(SalesData[[#This Row],[Sales]],"$",""),",",""))/SalesData[[#This Row],[Quantity]],0)</f>
        <v>19.385000000000002</v>
      </c>
      <c r="Z504">
        <f>YEAR(SalesData[[#This Row],[Order Date]])</f>
        <v>2024</v>
      </c>
      <c r="AA504" t="str">
        <f>TEXT(SalesData[[#This Row],[Order Date]],"mmm")</f>
        <v>Jul</v>
      </c>
      <c r="AB50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05" spans="1:28">
      <c r="A505">
        <v>518</v>
      </c>
      <c r="B505" t="s">
        <v>2867</v>
      </c>
      <c r="C505" s="1">
        <v>45484</v>
      </c>
      <c r="D505" s="1">
        <v>45490</v>
      </c>
      <c r="E505" t="s">
        <v>49</v>
      </c>
      <c r="F505" t="s">
        <v>2868</v>
      </c>
      <c r="G505" t="s">
        <v>1479</v>
      </c>
      <c r="H505" t="s">
        <v>25</v>
      </c>
      <c r="I505" t="s">
        <v>26</v>
      </c>
      <c r="J505" t="s">
        <v>301</v>
      </c>
      <c r="K505" t="s">
        <v>301</v>
      </c>
      <c r="L505">
        <v>66344</v>
      </c>
      <c r="M505" t="s">
        <v>73</v>
      </c>
      <c r="N505" t="s">
        <v>2869</v>
      </c>
      <c r="O505" t="s">
        <v>43</v>
      </c>
      <c r="P505" t="s">
        <v>128</v>
      </c>
      <c r="Q505" t="s">
        <v>668</v>
      </c>
      <c r="R505" t="s">
        <v>2870</v>
      </c>
      <c r="S505">
        <v>1</v>
      </c>
      <c r="T505" s="2">
        <v>0.3</v>
      </c>
      <c r="U505" t="s">
        <v>2871</v>
      </c>
      <c r="V505" t="str">
        <f>CHOOSE(MOD(SalesData[[#This Row],[Row ID]]-1,8)+1,"Aarav Sharma","Ananya Singh","Rohan Verma","Priya Gupta","Arjun Mehta","Neha Kapoor","Rahul Joshi","Sneha Patel")</f>
        <v>Neha Kapoor</v>
      </c>
      <c r="W50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05" s="8">
        <f>IFERROR(VALUE(SUBSTITUTE(SUBSTITUTE(SalesData[[#This Row],[Profit]],"$",""),",",""))/VALUE(SUBSTITUTE(SUBSTITUTE(SalesData[[#This Row],[Sales]],"$",""),",","")),0)</f>
        <v>4.7849562465090298E-2</v>
      </c>
      <c r="Y505" s="6">
        <f>IFERROR(VALUE(SUBSTITUTE(SUBSTITUTE(SalesData[[#This Row],[Sales]],"$",""),",",""))/SalesData[[#This Row],[Quantity]],0)</f>
        <v>107.42</v>
      </c>
      <c r="Z505">
        <f>YEAR(SalesData[[#This Row],[Order Date]])</f>
        <v>2024</v>
      </c>
      <c r="AA505" t="str">
        <f>TEXT(SalesData[[#This Row],[Order Date]],"mmm")</f>
        <v>Jul</v>
      </c>
      <c r="AB50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06" spans="1:28">
      <c r="A506">
        <v>210</v>
      </c>
      <c r="B506" t="s">
        <v>2872</v>
      </c>
      <c r="C506" s="1">
        <v>45486</v>
      </c>
      <c r="D506" s="1">
        <v>45489</v>
      </c>
      <c r="E506" t="s">
        <v>22</v>
      </c>
      <c r="F506" t="s">
        <v>348</v>
      </c>
      <c r="G506" t="s">
        <v>640</v>
      </c>
      <c r="H506" t="s">
        <v>25</v>
      </c>
      <c r="I506" t="s">
        <v>26</v>
      </c>
      <c r="J506" t="s">
        <v>204</v>
      </c>
      <c r="K506" t="s">
        <v>204</v>
      </c>
      <c r="L506">
        <v>50142</v>
      </c>
      <c r="M506" t="s">
        <v>28</v>
      </c>
      <c r="N506" t="s">
        <v>2873</v>
      </c>
      <c r="O506" t="s">
        <v>43</v>
      </c>
      <c r="P506" t="s">
        <v>44</v>
      </c>
      <c r="Q506" t="s">
        <v>239</v>
      </c>
      <c r="R506" t="s">
        <v>2874</v>
      </c>
      <c r="S506">
        <v>5</v>
      </c>
      <c r="T506" s="2">
        <v>0.3</v>
      </c>
      <c r="U506" t="s">
        <v>2875</v>
      </c>
      <c r="V506" t="str">
        <f>CHOOSE(MOD(SalesData[[#This Row],[Row ID]]-1,8)+1,"Aarav Sharma","Ananya Singh","Rohan Verma","Priya Gupta","Arjun Mehta","Neha Kapoor","Rahul Joshi","Sneha Patel")</f>
        <v>Ananya Singh</v>
      </c>
      <c r="W50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06" s="8">
        <f>IFERROR(VALUE(SUBSTITUTE(SUBSTITUTE(SalesData[[#This Row],[Profit]],"$",""),",",""))/VALUE(SUBSTITUTE(SUBSTITUTE(SalesData[[#This Row],[Sales]],"$",""),",","")),0)</f>
        <v>3.6232823437905105E-2</v>
      </c>
      <c r="Y506" s="6">
        <f>IFERROR(VALUE(SUBSTITUTE(SUBSTITUTE(SalesData[[#This Row],[Sales]],"$",""),",",""))/SalesData[[#This Row],[Quantity]],0)</f>
        <v>30.856000000000002</v>
      </c>
      <c r="Z506">
        <f>YEAR(SalesData[[#This Row],[Order Date]])</f>
        <v>2024</v>
      </c>
      <c r="AA506" t="str">
        <f>TEXT(SalesData[[#This Row],[Order Date]],"mmm")</f>
        <v>Jul</v>
      </c>
      <c r="AB50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07" spans="1:28">
      <c r="A507">
        <v>388</v>
      </c>
      <c r="B507" t="s">
        <v>2876</v>
      </c>
      <c r="C507" s="1">
        <v>45489</v>
      </c>
      <c r="D507" s="1">
        <v>45491</v>
      </c>
      <c r="E507" t="s">
        <v>22</v>
      </c>
      <c r="F507" t="s">
        <v>2877</v>
      </c>
      <c r="G507" t="s">
        <v>211</v>
      </c>
      <c r="H507" t="s">
        <v>39</v>
      </c>
      <c r="I507" t="s">
        <v>26</v>
      </c>
      <c r="J507" t="s">
        <v>72</v>
      </c>
      <c r="K507" t="s">
        <v>72</v>
      </c>
      <c r="L507">
        <v>14792</v>
      </c>
      <c r="M507" t="s">
        <v>73</v>
      </c>
      <c r="N507" t="s">
        <v>2762</v>
      </c>
      <c r="O507" t="s">
        <v>30</v>
      </c>
      <c r="P507" t="s">
        <v>31</v>
      </c>
      <c r="Q507" t="s">
        <v>2878</v>
      </c>
      <c r="R507" t="s">
        <v>2879</v>
      </c>
      <c r="S507">
        <v>1</v>
      </c>
      <c r="T507" s="2">
        <v>0</v>
      </c>
      <c r="U507" t="s">
        <v>2880</v>
      </c>
      <c r="V507" t="str">
        <f>CHOOSE(MOD(SalesData[[#This Row],[Row ID]]-1,8)+1,"Aarav Sharma","Ananya Singh","Rohan Verma","Priya Gupta","Arjun Mehta","Neha Kapoor","Rahul Joshi","Sneha Patel")</f>
        <v>Priya Gupta</v>
      </c>
      <c r="W50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07" s="8">
        <f>IFERROR(VALUE(SUBSTITUTE(SUBSTITUTE(SalesData[[#This Row],[Profit]],"$",""),",",""))/VALUE(SUBSTITUTE(SUBSTITUTE(SalesData[[#This Row],[Sales]],"$",""),",","")),0)</f>
        <v>0.24165572211403469</v>
      </c>
      <c r="Y507" s="6">
        <f>IFERROR(VALUE(SUBSTITUTE(SUBSTITUTE(SalesData[[#This Row],[Sales]],"$",""),",",""))/SalesData[[#This Row],[Quantity]],0)</f>
        <v>220.81</v>
      </c>
      <c r="Z507">
        <f>YEAR(SalesData[[#This Row],[Order Date]])</f>
        <v>2024</v>
      </c>
      <c r="AA507" t="str">
        <f>TEXT(SalesData[[#This Row],[Order Date]],"mmm")</f>
        <v>Jul</v>
      </c>
      <c r="AB50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08" spans="1:28">
      <c r="A508">
        <v>17</v>
      </c>
      <c r="B508" t="s">
        <v>2881</v>
      </c>
      <c r="C508" s="1">
        <v>45489</v>
      </c>
      <c r="D508" s="1">
        <v>45494</v>
      </c>
      <c r="E508" t="s">
        <v>22</v>
      </c>
      <c r="F508" t="s">
        <v>2882</v>
      </c>
      <c r="G508" t="s">
        <v>1219</v>
      </c>
      <c r="H508" t="s">
        <v>39</v>
      </c>
      <c r="I508" t="s">
        <v>26</v>
      </c>
      <c r="J508" t="s">
        <v>204</v>
      </c>
      <c r="K508" t="s">
        <v>204</v>
      </c>
      <c r="L508">
        <v>37751</v>
      </c>
      <c r="M508" t="s">
        <v>28</v>
      </c>
      <c r="N508" t="s">
        <v>253</v>
      </c>
      <c r="O508" t="s">
        <v>43</v>
      </c>
      <c r="P508" t="s">
        <v>128</v>
      </c>
      <c r="Q508" t="s">
        <v>2340</v>
      </c>
      <c r="R508" t="s">
        <v>2883</v>
      </c>
      <c r="S508">
        <v>6</v>
      </c>
      <c r="T508" s="2">
        <v>0</v>
      </c>
      <c r="U508" t="s">
        <v>2884</v>
      </c>
      <c r="V508" t="str">
        <f>CHOOSE(MOD(SalesData[[#This Row],[Row ID]]-1,8)+1,"Aarav Sharma","Ananya Singh","Rohan Verma","Priya Gupta","Arjun Mehta","Neha Kapoor","Rahul Joshi","Sneha Patel")</f>
        <v>Aarav Sharma</v>
      </c>
      <c r="W50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08" s="8">
        <f>IFERROR(VALUE(SUBSTITUTE(SUBSTITUTE(SalesData[[#This Row],[Profit]],"$",""),",",""))/VALUE(SUBSTITUTE(SUBSTITUTE(SalesData[[#This Row],[Sales]],"$",""),",","")),0)</f>
        <v>0.21758793969849247</v>
      </c>
      <c r="Y508" s="6">
        <f>IFERROR(VALUE(SUBSTITUTE(SUBSTITUTE(SalesData[[#This Row],[Sales]],"$",""),",",""))/SalesData[[#This Row],[Quantity]],0)</f>
        <v>9.9500000000000011</v>
      </c>
      <c r="Z508">
        <f>YEAR(SalesData[[#This Row],[Order Date]])</f>
        <v>2024</v>
      </c>
      <c r="AA508" t="str">
        <f>TEXT(SalesData[[#This Row],[Order Date]],"mmm")</f>
        <v>Jul</v>
      </c>
      <c r="AB50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09" spans="1:28">
      <c r="A509">
        <v>392</v>
      </c>
      <c r="B509" t="s">
        <v>2885</v>
      </c>
      <c r="C509" s="1">
        <v>45490</v>
      </c>
      <c r="D509" s="1">
        <v>45495</v>
      </c>
      <c r="E509" t="s">
        <v>49</v>
      </c>
      <c r="F509" t="s">
        <v>2886</v>
      </c>
      <c r="G509" t="s">
        <v>349</v>
      </c>
      <c r="H509" t="s">
        <v>60</v>
      </c>
      <c r="I509" t="s">
        <v>26</v>
      </c>
      <c r="J509" t="s">
        <v>81</v>
      </c>
      <c r="K509" t="s">
        <v>81</v>
      </c>
      <c r="L509">
        <v>54912</v>
      </c>
      <c r="M509" t="s">
        <v>62</v>
      </c>
      <c r="N509" t="s">
        <v>2887</v>
      </c>
      <c r="O509" t="s">
        <v>43</v>
      </c>
      <c r="P509" t="s">
        <v>166</v>
      </c>
      <c r="Q509" t="s">
        <v>1847</v>
      </c>
      <c r="R509" t="s">
        <v>2888</v>
      </c>
      <c r="S509">
        <v>4</v>
      </c>
      <c r="T509" s="2">
        <v>0.5</v>
      </c>
      <c r="U509" t="s">
        <v>2889</v>
      </c>
      <c r="V509" t="str">
        <f>CHOOSE(MOD(SalesData[[#This Row],[Row ID]]-1,8)+1,"Aarav Sharma","Ananya Singh","Rohan Verma","Priya Gupta","Arjun Mehta","Neha Kapoor","Rahul Joshi","Sneha Patel")</f>
        <v>Sneha Patel</v>
      </c>
      <c r="W50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09" s="8">
        <f>IFERROR(VALUE(SUBSTITUTE(SUBSTITUTE(SalesData[[#This Row],[Profit]],"$",""),",",""))/VALUE(SUBSTITUTE(SUBSTITUTE(SalesData[[#This Row],[Sales]],"$",""),",","")),0)</f>
        <v>-0.15526164462334677</v>
      </c>
      <c r="Y509" s="6">
        <f>IFERROR(VALUE(SUBSTITUTE(SUBSTITUTE(SalesData[[#This Row],[Sales]],"$",""),",",""))/SalesData[[#This Row],[Quantity]],0)</f>
        <v>34.78</v>
      </c>
      <c r="Z509">
        <f>YEAR(SalesData[[#This Row],[Order Date]])</f>
        <v>2024</v>
      </c>
      <c r="AA509" t="str">
        <f>TEXT(SalesData[[#This Row],[Order Date]],"mmm")</f>
        <v>Jul</v>
      </c>
      <c r="AB50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10" spans="1:28">
      <c r="A510">
        <v>569</v>
      </c>
      <c r="B510" t="s">
        <v>2890</v>
      </c>
      <c r="C510" s="1">
        <v>45494</v>
      </c>
      <c r="D510" s="1">
        <v>45495</v>
      </c>
      <c r="E510" t="s">
        <v>49</v>
      </c>
      <c r="F510" t="s">
        <v>2891</v>
      </c>
      <c r="G510" t="s">
        <v>51</v>
      </c>
      <c r="H510" t="s">
        <v>25</v>
      </c>
      <c r="I510" t="s">
        <v>26</v>
      </c>
      <c r="J510" t="s">
        <v>27</v>
      </c>
      <c r="K510" t="s">
        <v>27</v>
      </c>
      <c r="L510">
        <v>20129</v>
      </c>
      <c r="M510" t="s">
        <v>28</v>
      </c>
      <c r="N510" t="s">
        <v>426</v>
      </c>
      <c r="O510" t="s">
        <v>30</v>
      </c>
      <c r="P510" t="s">
        <v>197</v>
      </c>
      <c r="Q510" t="s">
        <v>2509</v>
      </c>
      <c r="R510" t="s">
        <v>2892</v>
      </c>
      <c r="S510">
        <v>6</v>
      </c>
      <c r="T510" s="2">
        <v>0.3</v>
      </c>
      <c r="U510" t="s">
        <v>2893</v>
      </c>
      <c r="V510" t="str">
        <f>CHOOSE(MOD(SalesData[[#This Row],[Row ID]]-1,8)+1,"Aarav Sharma","Ananya Singh","Rohan Verma","Priya Gupta","Arjun Mehta","Neha Kapoor","Rahul Joshi","Sneha Patel")</f>
        <v>Aarav Sharma</v>
      </c>
      <c r="W51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10" s="8">
        <f>IFERROR(VALUE(SUBSTITUTE(SUBSTITUTE(SalesData[[#This Row],[Profit]],"$",""),",",""))/VALUE(SUBSTITUTE(SUBSTITUTE(SalesData[[#This Row],[Sales]],"$",""),",","")),0)</f>
        <v>-8.0062157962299846E-2</v>
      </c>
      <c r="Y510" s="6">
        <f>IFERROR(VALUE(SUBSTITUTE(SUBSTITUTE(SalesData[[#This Row],[Sales]],"$",""),",",""))/SalesData[[#This Row],[Quantity]],0)</f>
        <v>24.668333333333333</v>
      </c>
      <c r="Z510">
        <f>YEAR(SalesData[[#This Row],[Order Date]])</f>
        <v>2024</v>
      </c>
      <c r="AA510" t="str">
        <f>TEXT(SalesData[[#This Row],[Order Date]],"mmm")</f>
        <v>Jul</v>
      </c>
      <c r="AB51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11" spans="1:28">
      <c r="A511">
        <v>143</v>
      </c>
      <c r="B511" t="s">
        <v>2894</v>
      </c>
      <c r="C511" s="1">
        <v>45495</v>
      </c>
      <c r="D511" s="1">
        <v>45497</v>
      </c>
      <c r="E511" t="s">
        <v>36</v>
      </c>
      <c r="F511" t="s">
        <v>2895</v>
      </c>
      <c r="G511" t="s">
        <v>1850</v>
      </c>
      <c r="H511" t="s">
        <v>25</v>
      </c>
      <c r="I511" t="s">
        <v>26</v>
      </c>
      <c r="J511" t="s">
        <v>27</v>
      </c>
      <c r="K511" t="s">
        <v>27</v>
      </c>
      <c r="L511">
        <v>60139</v>
      </c>
      <c r="M511" t="s">
        <v>28</v>
      </c>
      <c r="N511" t="s">
        <v>1556</v>
      </c>
      <c r="O511" t="s">
        <v>30</v>
      </c>
      <c r="P511" t="s">
        <v>197</v>
      </c>
      <c r="Q511" t="s">
        <v>2896</v>
      </c>
      <c r="R511" t="s">
        <v>2897</v>
      </c>
      <c r="S511">
        <v>3</v>
      </c>
      <c r="T511" s="2">
        <v>0</v>
      </c>
      <c r="U511" t="s">
        <v>2898</v>
      </c>
      <c r="V511" t="str">
        <f>CHOOSE(MOD(SalesData[[#This Row],[Row ID]]-1,8)+1,"Aarav Sharma","Ananya Singh","Rohan Verma","Priya Gupta","Arjun Mehta","Neha Kapoor","Rahul Joshi","Sneha Patel")</f>
        <v>Rahul Joshi</v>
      </c>
      <c r="W51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511" s="8">
        <f>IFERROR(VALUE(SUBSTITUTE(SUBSTITUTE(SalesData[[#This Row],[Profit]],"$",""),",",""))/VALUE(SUBSTITUTE(SUBSTITUTE(SalesData[[#This Row],[Sales]],"$",""),",","")),0)</f>
        <v>0.18848484848484848</v>
      </c>
      <c r="Y511" s="6">
        <f>IFERROR(VALUE(SUBSTITUTE(SUBSTITUTE(SalesData[[#This Row],[Sales]],"$",""),",",""))/SalesData[[#This Row],[Quantity]],0)</f>
        <v>33</v>
      </c>
      <c r="Z511">
        <f>YEAR(SalesData[[#This Row],[Order Date]])</f>
        <v>2024</v>
      </c>
      <c r="AA511" t="str">
        <f>TEXT(SalesData[[#This Row],[Order Date]],"mmm")</f>
        <v>Jul</v>
      </c>
      <c r="AB51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12" spans="1:28">
      <c r="A512">
        <v>83</v>
      </c>
      <c r="B512" t="s">
        <v>2899</v>
      </c>
      <c r="C512" s="1">
        <v>45497</v>
      </c>
      <c r="D512" s="1">
        <v>45498</v>
      </c>
      <c r="E512" t="s">
        <v>36</v>
      </c>
      <c r="F512" t="s">
        <v>2900</v>
      </c>
      <c r="G512" t="s">
        <v>329</v>
      </c>
      <c r="H512" t="s">
        <v>25</v>
      </c>
      <c r="I512" t="s">
        <v>26</v>
      </c>
      <c r="J512" t="s">
        <v>438</v>
      </c>
      <c r="K512" t="s">
        <v>438</v>
      </c>
      <c r="L512">
        <v>91905</v>
      </c>
      <c r="M512" t="s">
        <v>28</v>
      </c>
      <c r="N512" t="s">
        <v>2556</v>
      </c>
      <c r="O512" t="s">
        <v>30</v>
      </c>
      <c r="P512" t="s">
        <v>31</v>
      </c>
      <c r="Q512" t="s">
        <v>32</v>
      </c>
      <c r="R512" t="s">
        <v>2901</v>
      </c>
      <c r="S512">
        <v>6</v>
      </c>
      <c r="T512" s="2">
        <v>0.15</v>
      </c>
      <c r="U512" t="s">
        <v>2902</v>
      </c>
      <c r="V512" t="str">
        <f>CHOOSE(MOD(SalesData[[#This Row],[Row ID]]-1,8)+1,"Aarav Sharma","Ananya Singh","Rohan Verma","Priya Gupta","Arjun Mehta","Neha Kapoor","Rahul Joshi","Sneha Patel")</f>
        <v>Rohan Verma</v>
      </c>
      <c r="W51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512" s="8">
        <f>IFERROR(VALUE(SUBSTITUTE(SUBSTITUTE(SalesData[[#This Row],[Profit]],"$",""),",",""))/VALUE(SUBSTITUTE(SUBSTITUTE(SalesData[[#This Row],[Sales]],"$",""),",","")),0)</f>
        <v>9.0900337024554648E-2</v>
      </c>
      <c r="Y512" s="6">
        <f>IFERROR(VALUE(SUBSTITUTE(SUBSTITUTE(SalesData[[#This Row],[Sales]],"$",""),",",""))/SalesData[[#This Row],[Quantity]],0)</f>
        <v>17.308333333333334</v>
      </c>
      <c r="Z512">
        <f>YEAR(SalesData[[#This Row],[Order Date]])</f>
        <v>2024</v>
      </c>
      <c r="AA512" t="str">
        <f>TEXT(SalesData[[#This Row],[Order Date]],"mmm")</f>
        <v>Jul</v>
      </c>
      <c r="AB51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13" spans="1:28">
      <c r="A513">
        <v>542</v>
      </c>
      <c r="B513" t="s">
        <v>2903</v>
      </c>
      <c r="C513" s="1">
        <v>45498</v>
      </c>
      <c r="D513" s="1">
        <v>45500</v>
      </c>
      <c r="E513" t="s">
        <v>36</v>
      </c>
      <c r="F513" t="s">
        <v>2904</v>
      </c>
      <c r="G513" t="s">
        <v>142</v>
      </c>
      <c r="H513" t="s">
        <v>25</v>
      </c>
      <c r="I513" t="s">
        <v>26</v>
      </c>
      <c r="J513" t="s">
        <v>72</v>
      </c>
      <c r="K513" t="s">
        <v>72</v>
      </c>
      <c r="L513">
        <v>85783</v>
      </c>
      <c r="M513" t="s">
        <v>73</v>
      </c>
      <c r="N513" t="s">
        <v>2905</v>
      </c>
      <c r="O513" t="s">
        <v>43</v>
      </c>
      <c r="P513" t="s">
        <v>83</v>
      </c>
      <c r="Q513" t="s">
        <v>609</v>
      </c>
      <c r="R513" t="s">
        <v>2906</v>
      </c>
      <c r="S513">
        <v>5</v>
      </c>
      <c r="T513" s="2">
        <v>0.1</v>
      </c>
      <c r="U513" t="s">
        <v>2907</v>
      </c>
      <c r="V513" t="str">
        <f>CHOOSE(MOD(SalesData[[#This Row],[Row ID]]-1,8)+1,"Aarav Sharma","Ananya Singh","Rohan Verma","Priya Gupta","Arjun Mehta","Neha Kapoor","Rahul Joshi","Sneha Patel")</f>
        <v>Neha Kapoor</v>
      </c>
      <c r="W51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13" s="8">
        <f>IFERROR(VALUE(SUBSTITUTE(SUBSTITUTE(SalesData[[#This Row],[Profit]],"$",""),",",""))/VALUE(SUBSTITUTE(SUBSTITUTE(SalesData[[#This Row],[Sales]],"$",""),",","")),0)</f>
        <v>0.20893822943353257</v>
      </c>
      <c r="Y513" s="6">
        <f>IFERROR(VALUE(SUBSTITUTE(SUBSTITUTE(SalesData[[#This Row],[Sales]],"$",""),",",""))/SalesData[[#This Row],[Quantity]],0)</f>
        <v>7.0260000000000007</v>
      </c>
      <c r="Z513">
        <f>YEAR(SalesData[[#This Row],[Order Date]])</f>
        <v>2024</v>
      </c>
      <c r="AA513" t="str">
        <f>TEXT(SalesData[[#This Row],[Order Date]],"mmm")</f>
        <v>Jul</v>
      </c>
      <c r="AB51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14" spans="1:28">
      <c r="A514">
        <v>304</v>
      </c>
      <c r="B514" t="s">
        <v>2908</v>
      </c>
      <c r="C514" s="1">
        <v>45500</v>
      </c>
      <c r="D514" s="1">
        <v>45503</v>
      </c>
      <c r="E514" t="s">
        <v>36</v>
      </c>
      <c r="F514" t="s">
        <v>2909</v>
      </c>
      <c r="G514" t="s">
        <v>909</v>
      </c>
      <c r="H514" t="s">
        <v>25</v>
      </c>
      <c r="I514" t="s">
        <v>26</v>
      </c>
      <c r="J514" t="s">
        <v>61</v>
      </c>
      <c r="K514" t="s">
        <v>61</v>
      </c>
      <c r="L514">
        <v>67608</v>
      </c>
      <c r="M514" t="s">
        <v>62</v>
      </c>
      <c r="N514" t="s">
        <v>2910</v>
      </c>
      <c r="O514" t="s">
        <v>30</v>
      </c>
      <c r="P514" t="s">
        <v>120</v>
      </c>
      <c r="Q514" t="s">
        <v>2911</v>
      </c>
      <c r="R514" t="s">
        <v>2912</v>
      </c>
      <c r="S514">
        <v>3</v>
      </c>
      <c r="T514" s="2">
        <v>0</v>
      </c>
      <c r="U514" t="s">
        <v>2913</v>
      </c>
      <c r="V514" t="str">
        <f>CHOOSE(MOD(SalesData[[#This Row],[Row ID]]-1,8)+1,"Aarav Sharma","Ananya Singh","Rohan Verma","Priya Gupta","Arjun Mehta","Neha Kapoor","Rahul Joshi","Sneha Patel")</f>
        <v>Sneha Patel</v>
      </c>
      <c r="W51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14" s="8">
        <f>IFERROR(VALUE(SUBSTITUTE(SUBSTITUTE(SalesData[[#This Row],[Profit]],"$",""),",",""))/VALUE(SUBSTITUTE(SUBSTITUTE(SalesData[[#This Row],[Sales]],"$",""),",","")),0)</f>
        <v>0.17595288512440443</v>
      </c>
      <c r="Y514" s="6">
        <f>IFERROR(VALUE(SUBSTITUTE(SUBSTITUTE(SalesData[[#This Row],[Sales]],"$",""),",",""))/SalesData[[#This Row],[Quantity]],0)</f>
        <v>50.373333333333335</v>
      </c>
      <c r="Z514">
        <f>YEAR(SalesData[[#This Row],[Order Date]])</f>
        <v>2024</v>
      </c>
      <c r="AA514" t="str">
        <f>TEXT(SalesData[[#This Row],[Order Date]],"mmm")</f>
        <v>Jul</v>
      </c>
      <c r="AB51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15" spans="1:28">
      <c r="A515">
        <v>573</v>
      </c>
      <c r="B515" t="s">
        <v>2914</v>
      </c>
      <c r="C515" s="1">
        <v>45500</v>
      </c>
      <c r="D515" s="1">
        <v>45503</v>
      </c>
      <c r="E515" t="s">
        <v>382</v>
      </c>
      <c r="F515" t="s">
        <v>2915</v>
      </c>
      <c r="G515" t="s">
        <v>1685</v>
      </c>
      <c r="H515" t="s">
        <v>25</v>
      </c>
      <c r="I515" t="s">
        <v>26</v>
      </c>
      <c r="J515" t="s">
        <v>40</v>
      </c>
      <c r="K515" t="s">
        <v>40</v>
      </c>
      <c r="L515">
        <v>54732</v>
      </c>
      <c r="M515" t="s">
        <v>41</v>
      </c>
      <c r="N515" t="s">
        <v>2916</v>
      </c>
      <c r="O515" t="s">
        <v>43</v>
      </c>
      <c r="P515" t="s">
        <v>214</v>
      </c>
      <c r="Q515" t="s">
        <v>2917</v>
      </c>
      <c r="R515" t="s">
        <v>2918</v>
      </c>
      <c r="S515">
        <v>7</v>
      </c>
      <c r="T515" s="2">
        <v>0.05</v>
      </c>
      <c r="U515" t="s">
        <v>2919</v>
      </c>
      <c r="V515" t="str">
        <f>CHOOSE(MOD(SalesData[[#This Row],[Row ID]]-1,8)+1,"Aarav Sharma","Ananya Singh","Rohan Verma","Priya Gupta","Arjun Mehta","Neha Kapoor","Rahul Joshi","Sneha Patel")</f>
        <v>Arjun Mehta</v>
      </c>
      <c r="W51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15" s="8">
        <f>IFERROR(VALUE(SUBSTITUTE(SUBSTITUTE(SalesData[[#This Row],[Profit]],"$",""),",",""))/VALUE(SUBSTITUTE(SUBSTITUTE(SalesData[[#This Row],[Sales]],"$",""),",","")),0)</f>
        <v>0.21453598958854739</v>
      </c>
      <c r="Y515" s="6">
        <f>IFERROR(VALUE(SUBSTITUTE(SUBSTITUTE(SalesData[[#This Row],[Sales]],"$",""),",",""))/SalesData[[#This Row],[Quantity]],0)</f>
        <v>14.27</v>
      </c>
      <c r="Z515">
        <f>YEAR(SalesData[[#This Row],[Order Date]])</f>
        <v>2024</v>
      </c>
      <c r="AA515" t="str">
        <f>TEXT(SalesData[[#This Row],[Order Date]],"mmm")</f>
        <v>Jul</v>
      </c>
      <c r="AB51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16" spans="1:28">
      <c r="A516">
        <v>422</v>
      </c>
      <c r="B516" t="s">
        <v>2920</v>
      </c>
      <c r="C516" s="1">
        <v>45501</v>
      </c>
      <c r="D516" s="1">
        <v>45505</v>
      </c>
      <c r="E516" t="s">
        <v>36</v>
      </c>
      <c r="F516" t="s">
        <v>2921</v>
      </c>
      <c r="G516" t="s">
        <v>648</v>
      </c>
      <c r="H516" t="s">
        <v>60</v>
      </c>
      <c r="I516" t="s">
        <v>26</v>
      </c>
      <c r="J516" t="s">
        <v>260</v>
      </c>
      <c r="K516" t="s">
        <v>260</v>
      </c>
      <c r="L516">
        <v>27733</v>
      </c>
      <c r="M516" t="s">
        <v>41</v>
      </c>
      <c r="N516" t="s">
        <v>2922</v>
      </c>
      <c r="O516" t="s">
        <v>43</v>
      </c>
      <c r="P516" t="s">
        <v>44</v>
      </c>
      <c r="Q516" t="s">
        <v>877</v>
      </c>
      <c r="R516" t="s">
        <v>2923</v>
      </c>
      <c r="S516">
        <v>5</v>
      </c>
      <c r="T516" s="2">
        <v>0.05</v>
      </c>
      <c r="U516" t="s">
        <v>2924</v>
      </c>
      <c r="V516" t="str">
        <f>CHOOSE(MOD(SalesData[[#This Row],[Row ID]]-1,8)+1,"Aarav Sharma","Ananya Singh","Rohan Verma","Priya Gupta","Arjun Mehta","Neha Kapoor","Rahul Joshi","Sneha Patel")</f>
        <v>Neha Kapoor</v>
      </c>
      <c r="W51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16" s="8">
        <f>IFERROR(VALUE(SUBSTITUTE(SUBSTITUTE(SalesData[[#This Row],[Profit]],"$",""),",",""))/VALUE(SUBSTITUTE(SUBSTITUTE(SalesData[[#This Row],[Sales]],"$",""),",","")),0)</f>
        <v>0.13502740408570005</v>
      </c>
      <c r="Y516" s="6">
        <f>IFERROR(VALUE(SUBSTITUTE(SUBSTITUTE(SalesData[[#This Row],[Sales]],"$",""),",",""))/SalesData[[#This Row],[Quantity]],0)</f>
        <v>8.0280000000000005</v>
      </c>
      <c r="Z516">
        <f>YEAR(SalesData[[#This Row],[Order Date]])</f>
        <v>2024</v>
      </c>
      <c r="AA516" t="str">
        <f>TEXT(SalesData[[#This Row],[Order Date]],"mmm")</f>
        <v>Jul</v>
      </c>
      <c r="AB51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17" spans="1:28">
      <c r="A517">
        <v>549</v>
      </c>
      <c r="B517" t="s">
        <v>2925</v>
      </c>
      <c r="C517" s="1">
        <v>45506</v>
      </c>
      <c r="D517" s="1">
        <v>45509</v>
      </c>
      <c r="E517" t="s">
        <v>22</v>
      </c>
      <c r="F517" t="s">
        <v>2926</v>
      </c>
      <c r="G517" t="s">
        <v>1025</v>
      </c>
      <c r="H517" t="s">
        <v>25</v>
      </c>
      <c r="I517" t="s">
        <v>26</v>
      </c>
      <c r="J517" t="s">
        <v>301</v>
      </c>
      <c r="K517" t="s">
        <v>301</v>
      </c>
      <c r="L517">
        <v>35651</v>
      </c>
      <c r="M517" t="s">
        <v>73</v>
      </c>
      <c r="N517" t="s">
        <v>701</v>
      </c>
      <c r="O517" t="s">
        <v>43</v>
      </c>
      <c r="P517" t="s">
        <v>83</v>
      </c>
      <c r="Q517" t="s">
        <v>1027</v>
      </c>
      <c r="R517" t="s">
        <v>2927</v>
      </c>
      <c r="S517">
        <v>6</v>
      </c>
      <c r="T517" s="2">
        <v>0.3</v>
      </c>
      <c r="U517" t="s">
        <v>2928</v>
      </c>
      <c r="V517" t="str">
        <f>CHOOSE(MOD(SalesData[[#This Row],[Row ID]]-1,8)+1,"Aarav Sharma","Ananya Singh","Rohan Verma","Priya Gupta","Arjun Mehta","Neha Kapoor","Rahul Joshi","Sneha Patel")</f>
        <v>Arjun Mehta</v>
      </c>
      <c r="W51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17" s="8">
        <f>IFERROR(VALUE(SUBSTITUTE(SUBSTITUTE(SalesData[[#This Row],[Profit]],"$",""),",",""))/VALUE(SUBSTITUTE(SUBSTITUTE(SalesData[[#This Row],[Sales]],"$",""),",","")),0)</f>
        <v>7.5642161204605832E-2</v>
      </c>
      <c r="Y517" s="6">
        <f>IFERROR(VALUE(SUBSTITUTE(SUBSTITUTE(SalesData[[#This Row],[Sales]],"$",""),",",""))/SalesData[[#This Row],[Quantity]],0)</f>
        <v>18.816666666666666</v>
      </c>
      <c r="Z517">
        <f>YEAR(SalesData[[#This Row],[Order Date]])</f>
        <v>2024</v>
      </c>
      <c r="AA517" t="str">
        <f>TEXT(SalesData[[#This Row],[Order Date]],"mmm")</f>
        <v>Aug</v>
      </c>
      <c r="AB51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18" spans="1:28">
      <c r="A518">
        <v>57</v>
      </c>
      <c r="B518" t="s">
        <v>2929</v>
      </c>
      <c r="C518" s="1">
        <v>45508</v>
      </c>
      <c r="D518" s="1">
        <v>45510</v>
      </c>
      <c r="E518" t="s">
        <v>36</v>
      </c>
      <c r="F518" t="s">
        <v>2930</v>
      </c>
      <c r="G518" t="s">
        <v>451</v>
      </c>
      <c r="H518" t="s">
        <v>25</v>
      </c>
      <c r="I518" t="s">
        <v>26</v>
      </c>
      <c r="J518" t="s">
        <v>229</v>
      </c>
      <c r="K518" t="s">
        <v>229</v>
      </c>
      <c r="L518">
        <v>66373</v>
      </c>
      <c r="M518" t="s">
        <v>73</v>
      </c>
      <c r="N518" t="s">
        <v>2931</v>
      </c>
      <c r="O518" t="s">
        <v>43</v>
      </c>
      <c r="P518" t="s">
        <v>166</v>
      </c>
      <c r="Q518" t="s">
        <v>2330</v>
      </c>
      <c r="R518" t="s">
        <v>2932</v>
      </c>
      <c r="S518">
        <v>7</v>
      </c>
      <c r="T518" s="2">
        <v>0.5</v>
      </c>
      <c r="U518" t="s">
        <v>2933</v>
      </c>
      <c r="V518" t="str">
        <f>CHOOSE(MOD(SalesData[[#This Row],[Row ID]]-1,8)+1,"Aarav Sharma","Ananya Singh","Rohan Verma","Priya Gupta","Arjun Mehta","Neha Kapoor","Rahul Joshi","Sneha Patel")</f>
        <v>Aarav Sharma</v>
      </c>
      <c r="W51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18" s="8">
        <f>IFERROR(VALUE(SUBSTITUTE(SUBSTITUTE(SalesData[[#This Row],[Profit]],"$",""),",",""))/VALUE(SUBSTITUTE(SUBSTITUTE(SalesData[[#This Row],[Sales]],"$",""),",","")),0)</f>
        <v>-7.4999999999999997E-2</v>
      </c>
      <c r="Y518" s="6">
        <f>IFERROR(VALUE(SUBSTITUTE(SUBSTITUTE(SalesData[[#This Row],[Sales]],"$",""),",",""))/SalesData[[#This Row],[Quantity]],0)</f>
        <v>23.542857142857144</v>
      </c>
      <c r="Z518">
        <f>YEAR(SalesData[[#This Row],[Order Date]])</f>
        <v>2024</v>
      </c>
      <c r="AA518" t="str">
        <f>TEXT(SalesData[[#This Row],[Order Date]],"mmm")</f>
        <v>Aug</v>
      </c>
      <c r="AB51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19" spans="1:28">
      <c r="A519">
        <v>78</v>
      </c>
      <c r="B519" t="s">
        <v>2934</v>
      </c>
      <c r="C519" s="1">
        <v>45509</v>
      </c>
      <c r="D519" s="1">
        <v>45513</v>
      </c>
      <c r="E519" t="s">
        <v>36</v>
      </c>
      <c r="F519" t="s">
        <v>2935</v>
      </c>
      <c r="G519" t="s">
        <v>1087</v>
      </c>
      <c r="H519" t="s">
        <v>25</v>
      </c>
      <c r="I519" t="s">
        <v>26</v>
      </c>
      <c r="J519" t="s">
        <v>260</v>
      </c>
      <c r="K519" t="s">
        <v>260</v>
      </c>
      <c r="L519">
        <v>51846</v>
      </c>
      <c r="M519" t="s">
        <v>41</v>
      </c>
      <c r="N519" t="s">
        <v>2936</v>
      </c>
      <c r="O519" t="s">
        <v>30</v>
      </c>
      <c r="P519" t="s">
        <v>31</v>
      </c>
      <c r="Q519" t="s">
        <v>2013</v>
      </c>
      <c r="R519" t="s">
        <v>2937</v>
      </c>
      <c r="S519">
        <v>3</v>
      </c>
      <c r="T519" s="2">
        <v>0.15</v>
      </c>
      <c r="U519" t="s">
        <v>2938</v>
      </c>
      <c r="V519" t="str">
        <f>CHOOSE(MOD(SalesData[[#This Row],[Row ID]]-1,8)+1,"Aarav Sharma","Ananya Singh","Rohan Verma","Priya Gupta","Arjun Mehta","Neha Kapoor","Rahul Joshi","Sneha Patel")</f>
        <v>Neha Kapoor</v>
      </c>
      <c r="W51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19" s="8">
        <f>IFERROR(VALUE(SUBSTITUTE(SUBSTITUTE(SalesData[[#This Row],[Profit]],"$",""),",",""))/VALUE(SUBSTITUTE(SUBSTITUTE(SalesData[[#This Row],[Sales]],"$",""),",","")),0)</f>
        <v>-2.2602936942124965E-2</v>
      </c>
      <c r="Y519" s="6">
        <f>IFERROR(VALUE(SUBSTITUTE(SUBSTITUTE(SalesData[[#This Row],[Sales]],"$",""),",",""))/SalesData[[#This Row],[Quantity]],0)</f>
        <v>46.306666666666665</v>
      </c>
      <c r="Z519">
        <f>YEAR(SalesData[[#This Row],[Order Date]])</f>
        <v>2024</v>
      </c>
      <c r="AA519" t="str">
        <f>TEXT(SalesData[[#This Row],[Order Date]],"mmm")</f>
        <v>Aug</v>
      </c>
      <c r="AB51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20" spans="1:28">
      <c r="A520">
        <v>580</v>
      </c>
      <c r="B520" t="s">
        <v>2939</v>
      </c>
      <c r="C520" s="1">
        <v>45509</v>
      </c>
      <c r="D520" s="1">
        <v>45513</v>
      </c>
      <c r="E520" t="s">
        <v>49</v>
      </c>
      <c r="F520" t="s">
        <v>2940</v>
      </c>
      <c r="G520" t="s">
        <v>952</v>
      </c>
      <c r="H520" t="s">
        <v>25</v>
      </c>
      <c r="I520" t="s">
        <v>26</v>
      </c>
      <c r="J520" t="s">
        <v>61</v>
      </c>
      <c r="K520" t="s">
        <v>61</v>
      </c>
      <c r="L520">
        <v>59323</v>
      </c>
      <c r="M520" t="s">
        <v>62</v>
      </c>
      <c r="N520" t="s">
        <v>2941</v>
      </c>
      <c r="O520" t="s">
        <v>43</v>
      </c>
      <c r="P520" t="s">
        <v>44</v>
      </c>
      <c r="Q520" t="s">
        <v>317</v>
      </c>
      <c r="R520" t="s">
        <v>2942</v>
      </c>
      <c r="S520">
        <v>4</v>
      </c>
      <c r="T520" s="2">
        <v>0.05</v>
      </c>
      <c r="U520" t="s">
        <v>1506</v>
      </c>
      <c r="V520" t="str">
        <f>CHOOSE(MOD(SalesData[[#This Row],[Row ID]]-1,8)+1,"Aarav Sharma","Ananya Singh","Rohan Verma","Priya Gupta","Arjun Mehta","Neha Kapoor","Rahul Joshi","Sneha Patel")</f>
        <v>Priya Gupta</v>
      </c>
      <c r="W52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20" s="8">
        <f>IFERROR(VALUE(SUBSTITUTE(SUBSTITUTE(SalesData[[#This Row],[Profit]],"$",""),",",""))/VALUE(SUBSTITUTE(SUBSTITUTE(SalesData[[#This Row],[Sales]],"$",""),",","")),0)</f>
        <v>0.17791505791505791</v>
      </c>
      <c r="Y520" s="6">
        <f>IFERROR(VALUE(SUBSTITUTE(SUBSTITUTE(SalesData[[#This Row],[Sales]],"$",""),",",""))/SalesData[[#This Row],[Quantity]],0)</f>
        <v>16.1875</v>
      </c>
      <c r="Z520">
        <f>YEAR(SalesData[[#This Row],[Order Date]])</f>
        <v>2024</v>
      </c>
      <c r="AA520" t="str">
        <f>TEXT(SalesData[[#This Row],[Order Date]],"mmm")</f>
        <v>Aug</v>
      </c>
      <c r="AB52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21" spans="1:28">
      <c r="A521">
        <v>334</v>
      </c>
      <c r="B521" t="s">
        <v>2943</v>
      </c>
      <c r="C521" s="1">
        <v>45511</v>
      </c>
      <c r="D521" s="1">
        <v>45515</v>
      </c>
      <c r="E521" t="s">
        <v>36</v>
      </c>
      <c r="F521" t="s">
        <v>2944</v>
      </c>
      <c r="G521" t="s">
        <v>38</v>
      </c>
      <c r="H521" t="s">
        <v>60</v>
      </c>
      <c r="I521" t="s">
        <v>26</v>
      </c>
      <c r="J521" t="s">
        <v>204</v>
      </c>
      <c r="K521" t="s">
        <v>204</v>
      </c>
      <c r="L521">
        <v>21831</v>
      </c>
      <c r="M521" t="s">
        <v>28</v>
      </c>
      <c r="N521" t="s">
        <v>2945</v>
      </c>
      <c r="O521" t="s">
        <v>64</v>
      </c>
      <c r="P521" t="s">
        <v>65</v>
      </c>
      <c r="Q521" t="s">
        <v>2946</v>
      </c>
      <c r="R521" t="s">
        <v>2947</v>
      </c>
      <c r="S521">
        <v>2</v>
      </c>
      <c r="T521" s="2">
        <v>0.1</v>
      </c>
      <c r="U521" t="s">
        <v>2948</v>
      </c>
      <c r="V521" t="str">
        <f>CHOOSE(MOD(SalesData[[#This Row],[Row ID]]-1,8)+1,"Aarav Sharma","Ananya Singh","Rohan Verma","Priya Gupta","Arjun Mehta","Neha Kapoor","Rahul Joshi","Sneha Patel")</f>
        <v>Neha Kapoor</v>
      </c>
      <c r="W52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21" s="8">
        <f>IFERROR(VALUE(SUBSTITUTE(SUBSTITUTE(SalesData[[#This Row],[Profit]],"$",""),",",""))/VALUE(SUBSTITUTE(SUBSTITUTE(SalesData[[#This Row],[Sales]],"$",""),",","")),0)</f>
        <v>0.18490048043925877</v>
      </c>
      <c r="Y521" s="6">
        <f>IFERROR(VALUE(SUBSTITUTE(SUBSTITUTE(SalesData[[#This Row],[Sales]],"$",""),",",""))/SalesData[[#This Row],[Quantity]],0)</f>
        <v>72.849999999999994</v>
      </c>
      <c r="Z521">
        <f>YEAR(SalesData[[#This Row],[Order Date]])</f>
        <v>2024</v>
      </c>
      <c r="AA521" t="str">
        <f>TEXT(SalesData[[#This Row],[Order Date]],"mmm")</f>
        <v>Aug</v>
      </c>
      <c r="AB52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22" spans="1:28">
      <c r="A522">
        <v>10</v>
      </c>
      <c r="B522" t="s">
        <v>2949</v>
      </c>
      <c r="C522" s="1">
        <v>45513</v>
      </c>
      <c r="D522" s="1">
        <v>45514</v>
      </c>
      <c r="E522" t="s">
        <v>36</v>
      </c>
      <c r="F522" t="s">
        <v>2950</v>
      </c>
      <c r="G522" t="s">
        <v>1850</v>
      </c>
      <c r="H522" t="s">
        <v>25</v>
      </c>
      <c r="I522" t="s">
        <v>26</v>
      </c>
      <c r="J522" t="s">
        <v>173</v>
      </c>
      <c r="K522" t="s">
        <v>173</v>
      </c>
      <c r="L522">
        <v>62662</v>
      </c>
      <c r="M522" t="s">
        <v>73</v>
      </c>
      <c r="N522" t="s">
        <v>1266</v>
      </c>
      <c r="O522" t="s">
        <v>64</v>
      </c>
      <c r="P522" t="s">
        <v>105</v>
      </c>
      <c r="Q522" t="s">
        <v>2951</v>
      </c>
      <c r="R522" t="s">
        <v>2952</v>
      </c>
      <c r="S522">
        <v>6</v>
      </c>
      <c r="T522" s="2">
        <v>0</v>
      </c>
      <c r="U522" t="s">
        <v>2953</v>
      </c>
      <c r="V522" t="str">
        <f>CHOOSE(MOD(SalesData[[#This Row],[Row ID]]-1,8)+1,"Aarav Sharma","Ananya Singh","Rohan Verma","Priya Gupta","Arjun Mehta","Neha Kapoor","Rahul Joshi","Sneha Patel")</f>
        <v>Ananya Singh</v>
      </c>
      <c r="W52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22" s="8">
        <f>IFERROR(VALUE(SUBSTITUTE(SUBSTITUTE(SalesData[[#This Row],[Profit]],"$",""),",",""))/VALUE(SUBSTITUTE(SUBSTITUTE(SalesData[[#This Row],[Sales]],"$",""),",","")),0)</f>
        <v>0.31027723326799217</v>
      </c>
      <c r="Y522" s="6">
        <f>IFERROR(VALUE(SUBSTITUTE(SUBSTITUTE(SalesData[[#This Row],[Sales]],"$",""),",",""))/SalesData[[#This Row],[Quantity]],0)</f>
        <v>35.71</v>
      </c>
      <c r="Z522">
        <f>YEAR(SalesData[[#This Row],[Order Date]])</f>
        <v>2024</v>
      </c>
      <c r="AA522" t="str">
        <f>TEXT(SalesData[[#This Row],[Order Date]],"mmm")</f>
        <v>Aug</v>
      </c>
      <c r="AB52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23" spans="1:28">
      <c r="A523">
        <v>449</v>
      </c>
      <c r="B523" t="s">
        <v>2954</v>
      </c>
      <c r="C523" s="1">
        <v>45516</v>
      </c>
      <c r="D523" s="1">
        <v>45521</v>
      </c>
      <c r="E523" t="s">
        <v>22</v>
      </c>
      <c r="F523" t="s">
        <v>2955</v>
      </c>
      <c r="G523" t="s">
        <v>24</v>
      </c>
      <c r="H523" t="s">
        <v>39</v>
      </c>
      <c r="I523" t="s">
        <v>26</v>
      </c>
      <c r="J523" t="s">
        <v>363</v>
      </c>
      <c r="K523" t="s">
        <v>363</v>
      </c>
      <c r="L523">
        <v>98220</v>
      </c>
      <c r="M523" t="s">
        <v>62</v>
      </c>
      <c r="N523" t="s">
        <v>2956</v>
      </c>
      <c r="O523" t="s">
        <v>30</v>
      </c>
      <c r="P523" t="s">
        <v>197</v>
      </c>
      <c r="Q523" t="s">
        <v>1020</v>
      </c>
      <c r="R523" t="s">
        <v>2957</v>
      </c>
      <c r="S523">
        <v>6</v>
      </c>
      <c r="T523" s="2">
        <v>0.15</v>
      </c>
      <c r="U523" t="s">
        <v>2958</v>
      </c>
      <c r="V523" t="str">
        <f>CHOOSE(MOD(SalesData[[#This Row],[Row ID]]-1,8)+1,"Aarav Sharma","Ananya Singh","Rohan Verma","Priya Gupta","Arjun Mehta","Neha Kapoor","Rahul Joshi","Sneha Patel")</f>
        <v>Aarav Sharma</v>
      </c>
      <c r="W52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23" s="8">
        <f>IFERROR(VALUE(SUBSTITUTE(SUBSTITUTE(SalesData[[#This Row],[Profit]],"$",""),",",""))/VALUE(SUBSTITUTE(SUBSTITUTE(SalesData[[#This Row],[Sales]],"$",""),",","")),0)</f>
        <v>0.15625835189309575</v>
      </c>
      <c r="Y523" s="6">
        <f>IFERROR(VALUE(SUBSTITUTE(SUBSTITUTE(SalesData[[#This Row],[Sales]],"$",""),",",""))/SalesData[[#This Row],[Quantity]],0)</f>
        <v>18.708333333333332</v>
      </c>
      <c r="Z523">
        <f>YEAR(SalesData[[#This Row],[Order Date]])</f>
        <v>2024</v>
      </c>
      <c r="AA523" t="str">
        <f>TEXT(SalesData[[#This Row],[Order Date]],"mmm")</f>
        <v>Aug</v>
      </c>
      <c r="AB52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24" spans="1:28">
      <c r="A524">
        <v>24</v>
      </c>
      <c r="B524" t="s">
        <v>2959</v>
      </c>
      <c r="C524" s="1">
        <v>45518</v>
      </c>
      <c r="D524" s="1">
        <v>45521</v>
      </c>
      <c r="E524" t="s">
        <v>22</v>
      </c>
      <c r="F524" t="s">
        <v>2960</v>
      </c>
      <c r="G524" t="s">
        <v>1657</v>
      </c>
      <c r="H524" t="s">
        <v>60</v>
      </c>
      <c r="I524" t="s">
        <v>26</v>
      </c>
      <c r="J524" t="s">
        <v>301</v>
      </c>
      <c r="K524" t="s">
        <v>301</v>
      </c>
      <c r="L524">
        <v>25305</v>
      </c>
      <c r="M524" t="s">
        <v>73</v>
      </c>
      <c r="N524" t="s">
        <v>2397</v>
      </c>
      <c r="O524" t="s">
        <v>43</v>
      </c>
      <c r="P524" t="s">
        <v>214</v>
      </c>
      <c r="Q524" t="s">
        <v>893</v>
      </c>
      <c r="R524" t="s">
        <v>2961</v>
      </c>
      <c r="S524">
        <v>4</v>
      </c>
      <c r="T524" s="2">
        <v>0</v>
      </c>
      <c r="U524" t="s">
        <v>2962</v>
      </c>
      <c r="V524" t="str">
        <f>CHOOSE(MOD(SalesData[[#This Row],[Row ID]]-1,8)+1,"Aarav Sharma","Ananya Singh","Rohan Verma","Priya Gupta","Arjun Mehta","Neha Kapoor","Rahul Joshi","Sneha Patel")</f>
        <v>Sneha Patel</v>
      </c>
      <c r="W52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24" s="8">
        <f>IFERROR(VALUE(SUBSTITUTE(SUBSTITUTE(SalesData[[#This Row],[Profit]],"$",""),",",""))/VALUE(SUBSTITUTE(SUBSTITUTE(SalesData[[#This Row],[Sales]],"$",""),",","")),0)</f>
        <v>0.22308799864487169</v>
      </c>
      <c r="Y524" s="6">
        <f>IFERROR(VALUE(SUBSTITUTE(SUBSTITUTE(SalesData[[#This Row],[Sales]],"$",""),",",""))/SalesData[[#This Row],[Quantity]],0)</f>
        <v>29.517499999999998</v>
      </c>
      <c r="Z524">
        <f>YEAR(SalesData[[#This Row],[Order Date]])</f>
        <v>2024</v>
      </c>
      <c r="AA524" t="str">
        <f>TEXT(SalesData[[#This Row],[Order Date]],"mmm")</f>
        <v>Aug</v>
      </c>
      <c r="AB52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25" spans="1:28">
      <c r="A525">
        <v>52</v>
      </c>
      <c r="B525" t="s">
        <v>2963</v>
      </c>
      <c r="C525" s="1">
        <v>45519</v>
      </c>
      <c r="D525" s="1">
        <v>45521</v>
      </c>
      <c r="E525" t="s">
        <v>36</v>
      </c>
      <c r="F525" t="s">
        <v>2964</v>
      </c>
      <c r="G525" t="s">
        <v>252</v>
      </c>
      <c r="H525" t="s">
        <v>39</v>
      </c>
      <c r="I525" t="s">
        <v>26</v>
      </c>
      <c r="J525" t="s">
        <v>301</v>
      </c>
      <c r="K525" t="s">
        <v>301</v>
      </c>
      <c r="L525">
        <v>54327</v>
      </c>
      <c r="M525" t="s">
        <v>73</v>
      </c>
      <c r="N525" t="s">
        <v>2965</v>
      </c>
      <c r="O525" t="s">
        <v>30</v>
      </c>
      <c r="P525" t="s">
        <v>120</v>
      </c>
      <c r="Q525" t="s">
        <v>144</v>
      </c>
      <c r="R525" t="s">
        <v>2966</v>
      </c>
      <c r="S525">
        <v>5</v>
      </c>
      <c r="T525" s="2">
        <v>0.2</v>
      </c>
      <c r="U525" t="s">
        <v>2967</v>
      </c>
      <c r="V525" t="str">
        <f>CHOOSE(MOD(SalesData[[#This Row],[Row ID]]-1,8)+1,"Aarav Sharma","Ananya Singh","Rohan Verma","Priya Gupta","Arjun Mehta","Neha Kapoor","Rahul Joshi","Sneha Patel")</f>
        <v>Priya Gupta</v>
      </c>
      <c r="W52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25" s="8">
        <f>IFERROR(VALUE(SUBSTITUTE(SUBSTITUTE(SalesData[[#This Row],[Profit]],"$",""),",",""))/VALUE(SUBSTITUTE(SUBSTITUTE(SalesData[[#This Row],[Sales]],"$",""),",","")),0)</f>
        <v>4.6248715313463515E-2</v>
      </c>
      <c r="Y525" s="6">
        <f>IFERROR(VALUE(SUBSTITUTE(SUBSTITUTE(SalesData[[#This Row],[Sales]],"$",""),",",""))/SalesData[[#This Row],[Quantity]],0)</f>
        <v>7.7840000000000007</v>
      </c>
      <c r="Z525">
        <f>YEAR(SalesData[[#This Row],[Order Date]])</f>
        <v>2024</v>
      </c>
      <c r="AA525" t="str">
        <f>TEXT(SalesData[[#This Row],[Order Date]],"mmm")</f>
        <v>Aug</v>
      </c>
      <c r="AB52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26" spans="1:28">
      <c r="A526">
        <v>64</v>
      </c>
      <c r="B526" t="s">
        <v>2968</v>
      </c>
      <c r="C526" s="1">
        <v>45519</v>
      </c>
      <c r="D526" s="1">
        <v>45525</v>
      </c>
      <c r="E526" t="s">
        <v>36</v>
      </c>
      <c r="F526" t="s">
        <v>2969</v>
      </c>
      <c r="G526" t="s">
        <v>1496</v>
      </c>
      <c r="H526" t="s">
        <v>25</v>
      </c>
      <c r="I526" t="s">
        <v>26</v>
      </c>
      <c r="J526" t="s">
        <v>52</v>
      </c>
      <c r="K526" t="s">
        <v>52</v>
      </c>
      <c r="L526">
        <v>85186</v>
      </c>
      <c r="M526" t="s">
        <v>41</v>
      </c>
      <c r="N526" t="s">
        <v>2970</v>
      </c>
      <c r="O526" t="s">
        <v>43</v>
      </c>
      <c r="P526" t="s">
        <v>128</v>
      </c>
      <c r="Q526" t="s">
        <v>1795</v>
      </c>
      <c r="R526" t="s">
        <v>2971</v>
      </c>
      <c r="S526">
        <v>1</v>
      </c>
      <c r="T526" s="2">
        <v>0.05</v>
      </c>
      <c r="U526" t="s">
        <v>2972</v>
      </c>
      <c r="V526" t="str">
        <f>CHOOSE(MOD(SalesData[[#This Row],[Row ID]]-1,8)+1,"Aarav Sharma","Ananya Singh","Rohan Verma","Priya Gupta","Arjun Mehta","Neha Kapoor","Rahul Joshi","Sneha Patel")</f>
        <v>Sneha Patel</v>
      </c>
      <c r="W52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26" s="8">
        <f>IFERROR(VALUE(SUBSTITUTE(SUBSTITUTE(SalesData[[#This Row],[Profit]],"$",""),",",""))/VALUE(SUBSTITUTE(SUBSTITUTE(SalesData[[#This Row],[Sales]],"$",""),",","")),0)</f>
        <v>0.13581697152766123</v>
      </c>
      <c r="Y526" s="6">
        <f>IFERROR(VALUE(SUBSTITUTE(SUBSTITUTE(SalesData[[#This Row],[Sales]],"$",""),",",""))/SalesData[[#This Row],[Quantity]],0)</f>
        <v>178.77</v>
      </c>
      <c r="Z526">
        <f>YEAR(SalesData[[#This Row],[Order Date]])</f>
        <v>2024</v>
      </c>
      <c r="AA526" t="str">
        <f>TEXT(SalesData[[#This Row],[Order Date]],"mmm")</f>
        <v>Aug</v>
      </c>
      <c r="AB52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27" spans="1:28">
      <c r="A527">
        <v>532</v>
      </c>
      <c r="B527" t="s">
        <v>2973</v>
      </c>
      <c r="C527" s="1">
        <v>45521</v>
      </c>
      <c r="D527" s="1">
        <v>45526</v>
      </c>
      <c r="E527" t="s">
        <v>49</v>
      </c>
      <c r="F527" t="s">
        <v>2974</v>
      </c>
      <c r="G527" t="s">
        <v>939</v>
      </c>
      <c r="H527" t="s">
        <v>39</v>
      </c>
      <c r="I527" t="s">
        <v>26</v>
      </c>
      <c r="J527" t="s">
        <v>96</v>
      </c>
      <c r="K527" t="s">
        <v>96</v>
      </c>
      <c r="L527">
        <v>24026</v>
      </c>
      <c r="M527" t="s">
        <v>28</v>
      </c>
      <c r="N527" t="s">
        <v>1944</v>
      </c>
      <c r="O527" t="s">
        <v>30</v>
      </c>
      <c r="P527" t="s">
        <v>222</v>
      </c>
      <c r="Q527" t="s">
        <v>288</v>
      </c>
      <c r="R527" t="s">
        <v>2975</v>
      </c>
      <c r="S527">
        <v>7</v>
      </c>
      <c r="T527" s="2">
        <v>0</v>
      </c>
      <c r="U527" t="s">
        <v>2976</v>
      </c>
      <c r="V527" t="str">
        <f>CHOOSE(MOD(SalesData[[#This Row],[Row ID]]-1,8)+1,"Aarav Sharma","Ananya Singh","Rohan Verma","Priya Gupta","Arjun Mehta","Neha Kapoor","Rahul Joshi","Sneha Patel")</f>
        <v>Priya Gupta</v>
      </c>
      <c r="W52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27" s="8">
        <f>IFERROR(VALUE(SUBSTITUTE(SUBSTITUTE(SalesData[[#This Row],[Profit]],"$",""),",",""))/VALUE(SUBSTITUTE(SUBSTITUTE(SalesData[[#This Row],[Sales]],"$",""),",","")),0)</f>
        <v>0.21902874132804756</v>
      </c>
      <c r="Y527" s="6">
        <f>IFERROR(VALUE(SUBSTITUTE(SUBSTITUTE(SalesData[[#This Row],[Sales]],"$",""),",",""))/SalesData[[#This Row],[Quantity]],0)</f>
        <v>7.2071428571428573</v>
      </c>
      <c r="Z527">
        <f>YEAR(SalesData[[#This Row],[Order Date]])</f>
        <v>2024</v>
      </c>
      <c r="AA527" t="str">
        <f>TEXT(SalesData[[#This Row],[Order Date]],"mmm")</f>
        <v>Aug</v>
      </c>
      <c r="AB52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28" spans="1:28">
      <c r="A528">
        <v>98</v>
      </c>
      <c r="B528" t="s">
        <v>2977</v>
      </c>
      <c r="C528" s="1">
        <v>45525</v>
      </c>
      <c r="D528" s="1">
        <v>45527</v>
      </c>
      <c r="E528" t="s">
        <v>36</v>
      </c>
      <c r="F528" t="s">
        <v>2978</v>
      </c>
      <c r="G528" t="s">
        <v>719</v>
      </c>
      <c r="H528" t="s">
        <v>39</v>
      </c>
      <c r="I528" t="s">
        <v>26</v>
      </c>
      <c r="J528" t="s">
        <v>204</v>
      </c>
      <c r="K528" t="s">
        <v>204</v>
      </c>
      <c r="L528">
        <v>54139</v>
      </c>
      <c r="M528" t="s">
        <v>28</v>
      </c>
      <c r="N528" t="s">
        <v>2077</v>
      </c>
      <c r="O528" t="s">
        <v>43</v>
      </c>
      <c r="P528" t="s">
        <v>44</v>
      </c>
      <c r="Q528" t="s">
        <v>2979</v>
      </c>
      <c r="R528" t="s">
        <v>2980</v>
      </c>
      <c r="S528">
        <v>4</v>
      </c>
      <c r="T528" s="2">
        <v>0.3</v>
      </c>
      <c r="U528" t="s">
        <v>2981</v>
      </c>
      <c r="V528" t="str">
        <f>CHOOSE(MOD(SalesData[[#This Row],[Row ID]]-1,8)+1,"Aarav Sharma","Ananya Singh","Rohan Verma","Priya Gupta","Arjun Mehta","Neha Kapoor","Rahul Joshi","Sneha Patel")</f>
        <v>Ananya Singh</v>
      </c>
      <c r="W52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28" s="8">
        <f>IFERROR(VALUE(SUBSTITUTE(SUBSTITUTE(SalesData[[#This Row],[Profit]],"$",""),",",""))/VALUE(SUBSTITUTE(SUBSTITUTE(SalesData[[#This Row],[Sales]],"$",""),",","")),0)</f>
        <v>2.4796380090497741E-2</v>
      </c>
      <c r="Y528" s="6">
        <f>IFERROR(VALUE(SUBSTITUTE(SUBSTITUTE(SalesData[[#This Row],[Sales]],"$",""),",",""))/SalesData[[#This Row],[Quantity]],0)</f>
        <v>41.4375</v>
      </c>
      <c r="Z528">
        <f>YEAR(SalesData[[#This Row],[Order Date]])</f>
        <v>2024</v>
      </c>
      <c r="AA528" t="str">
        <f>TEXT(SalesData[[#This Row],[Order Date]],"mmm")</f>
        <v>Aug</v>
      </c>
      <c r="AB52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29" spans="1:28">
      <c r="A529">
        <v>267</v>
      </c>
      <c r="B529" t="s">
        <v>2982</v>
      </c>
      <c r="C529" s="1">
        <v>45526</v>
      </c>
      <c r="D529" s="1">
        <v>45530</v>
      </c>
      <c r="E529" t="s">
        <v>49</v>
      </c>
      <c r="F529" t="s">
        <v>2983</v>
      </c>
      <c r="G529" t="s">
        <v>134</v>
      </c>
      <c r="H529" t="s">
        <v>25</v>
      </c>
      <c r="I529" t="s">
        <v>26</v>
      </c>
      <c r="J529" t="s">
        <v>438</v>
      </c>
      <c r="K529" t="s">
        <v>438</v>
      </c>
      <c r="L529">
        <v>16638</v>
      </c>
      <c r="M529" t="s">
        <v>28</v>
      </c>
      <c r="N529" t="s">
        <v>758</v>
      </c>
      <c r="O529" t="s">
        <v>30</v>
      </c>
      <c r="P529" t="s">
        <v>222</v>
      </c>
      <c r="Q529" t="s">
        <v>2984</v>
      </c>
      <c r="R529" t="s">
        <v>2985</v>
      </c>
      <c r="S529">
        <v>6</v>
      </c>
      <c r="T529" s="2">
        <v>0</v>
      </c>
      <c r="U529" t="s">
        <v>2986</v>
      </c>
      <c r="V529" t="str">
        <f>CHOOSE(MOD(SalesData[[#This Row],[Row ID]]-1,8)+1,"Aarav Sharma","Ananya Singh","Rohan Verma","Priya Gupta","Arjun Mehta","Neha Kapoor","Rahul Joshi","Sneha Patel")</f>
        <v>Rohan Verma</v>
      </c>
      <c r="W52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529" s="8">
        <f>IFERROR(VALUE(SUBSTITUTE(SUBSTITUTE(SalesData[[#This Row],[Profit]],"$",""),",",""))/VALUE(SUBSTITUTE(SUBSTITUTE(SalesData[[#This Row],[Sales]],"$",""),",","")),0)</f>
        <v>0.16410468144572191</v>
      </c>
      <c r="Y529" s="6">
        <f>IFERROR(VALUE(SUBSTITUTE(SUBSTITUTE(SalesData[[#This Row],[Sales]],"$",""),",",""))/SalesData[[#This Row],[Quantity]],0)</f>
        <v>52.476666666666667</v>
      </c>
      <c r="Z529">
        <f>YEAR(SalesData[[#This Row],[Order Date]])</f>
        <v>2024</v>
      </c>
      <c r="AA529" t="str">
        <f>TEXT(SalesData[[#This Row],[Order Date]],"mmm")</f>
        <v>Aug</v>
      </c>
      <c r="AB52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30" spans="1:28">
      <c r="A530">
        <v>300</v>
      </c>
      <c r="B530" t="s">
        <v>2987</v>
      </c>
      <c r="C530" s="1">
        <v>45528</v>
      </c>
      <c r="D530" s="1">
        <v>45531</v>
      </c>
      <c r="E530" t="s">
        <v>36</v>
      </c>
      <c r="F530" t="s">
        <v>2988</v>
      </c>
      <c r="G530" t="s">
        <v>945</v>
      </c>
      <c r="H530" t="s">
        <v>39</v>
      </c>
      <c r="I530" t="s">
        <v>26</v>
      </c>
      <c r="J530" t="s">
        <v>301</v>
      </c>
      <c r="K530" t="s">
        <v>301</v>
      </c>
      <c r="L530">
        <v>18802</v>
      </c>
      <c r="M530" t="s">
        <v>73</v>
      </c>
      <c r="N530" t="s">
        <v>2989</v>
      </c>
      <c r="O530" t="s">
        <v>64</v>
      </c>
      <c r="P530" t="s">
        <v>136</v>
      </c>
      <c r="Q530" t="s">
        <v>2619</v>
      </c>
      <c r="R530" t="s">
        <v>2990</v>
      </c>
      <c r="S530">
        <v>5</v>
      </c>
      <c r="T530" s="2">
        <v>0.5</v>
      </c>
      <c r="U530" t="s">
        <v>2991</v>
      </c>
      <c r="V530" t="str">
        <f>CHOOSE(MOD(SalesData[[#This Row],[Row ID]]-1,8)+1,"Aarav Sharma","Ananya Singh","Rohan Verma","Priya Gupta","Arjun Mehta","Neha Kapoor","Rahul Joshi","Sneha Patel")</f>
        <v>Priya Gupta</v>
      </c>
      <c r="W53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30" s="8">
        <f>IFERROR(VALUE(SUBSTITUTE(SUBSTITUTE(SalesData[[#This Row],[Profit]],"$",""),",",""))/VALUE(SUBSTITUTE(SUBSTITUTE(SalesData[[#This Row],[Sales]],"$",""),",","")),0)</f>
        <v>-4.821428571428571E-2</v>
      </c>
      <c r="Y530" s="6">
        <f>IFERROR(VALUE(SUBSTITUTE(SUBSTITUTE(SalesData[[#This Row],[Sales]],"$",""),",",""))/SalesData[[#This Row],[Quantity]],0)</f>
        <v>7.8400000000000007</v>
      </c>
      <c r="Z530">
        <f>YEAR(SalesData[[#This Row],[Order Date]])</f>
        <v>2024</v>
      </c>
      <c r="AA530" t="str">
        <f>TEXT(SalesData[[#This Row],[Order Date]],"mmm")</f>
        <v>Aug</v>
      </c>
      <c r="AB53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31" spans="1:28">
      <c r="A531">
        <v>591</v>
      </c>
      <c r="B531" t="s">
        <v>2992</v>
      </c>
      <c r="C531" s="1">
        <v>45528</v>
      </c>
      <c r="D531" s="1">
        <v>45530</v>
      </c>
      <c r="E531" t="s">
        <v>36</v>
      </c>
      <c r="F531" t="s">
        <v>2993</v>
      </c>
      <c r="G531" t="s">
        <v>994</v>
      </c>
      <c r="H531" t="s">
        <v>25</v>
      </c>
      <c r="I531" t="s">
        <v>26</v>
      </c>
      <c r="J531" t="s">
        <v>96</v>
      </c>
      <c r="K531" t="s">
        <v>96</v>
      </c>
      <c r="L531">
        <v>70287</v>
      </c>
      <c r="M531" t="s">
        <v>28</v>
      </c>
      <c r="N531" t="s">
        <v>2994</v>
      </c>
      <c r="O531" t="s">
        <v>43</v>
      </c>
      <c r="P531" t="s">
        <v>166</v>
      </c>
      <c r="Q531" t="s">
        <v>2810</v>
      </c>
      <c r="R531" t="s">
        <v>2995</v>
      </c>
      <c r="S531">
        <v>3</v>
      </c>
      <c r="T531" s="2">
        <v>0.1</v>
      </c>
      <c r="U531" t="s">
        <v>2996</v>
      </c>
      <c r="V531" t="str">
        <f>CHOOSE(MOD(SalesData[[#This Row],[Row ID]]-1,8)+1,"Aarav Sharma","Ananya Singh","Rohan Verma","Priya Gupta","Arjun Mehta","Neha Kapoor","Rahul Joshi","Sneha Patel")</f>
        <v>Rahul Joshi</v>
      </c>
      <c r="W53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531" s="8">
        <f>IFERROR(VALUE(SUBSTITUTE(SUBSTITUTE(SalesData[[#This Row],[Profit]],"$",""),",",""))/VALUE(SUBSTITUTE(SUBSTITUTE(SalesData[[#This Row],[Sales]],"$",""),",","")),0)</f>
        <v>0.15496688741721854</v>
      </c>
      <c r="Y531" s="6">
        <f>IFERROR(VALUE(SUBSTITUTE(SUBSTITUTE(SalesData[[#This Row],[Sales]],"$",""),",",""))/SalesData[[#This Row],[Quantity]],0)</f>
        <v>15.1</v>
      </c>
      <c r="Z531">
        <f>YEAR(SalesData[[#This Row],[Order Date]])</f>
        <v>2024</v>
      </c>
      <c r="AA531" t="str">
        <f>TEXT(SalesData[[#This Row],[Order Date]],"mmm")</f>
        <v>Aug</v>
      </c>
      <c r="AB53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32" spans="1:28">
      <c r="A532">
        <v>440</v>
      </c>
      <c r="B532" t="s">
        <v>2997</v>
      </c>
      <c r="C532" s="1">
        <v>45530</v>
      </c>
      <c r="D532" s="1">
        <v>45533</v>
      </c>
      <c r="E532" t="s">
        <v>49</v>
      </c>
      <c r="F532" t="s">
        <v>2998</v>
      </c>
      <c r="G532" t="s">
        <v>362</v>
      </c>
      <c r="H532" t="s">
        <v>60</v>
      </c>
      <c r="I532" t="s">
        <v>26</v>
      </c>
      <c r="J532" t="s">
        <v>301</v>
      </c>
      <c r="K532" t="s">
        <v>301</v>
      </c>
      <c r="L532">
        <v>35705</v>
      </c>
      <c r="M532" t="s">
        <v>73</v>
      </c>
      <c r="N532" t="s">
        <v>2999</v>
      </c>
      <c r="O532" t="s">
        <v>30</v>
      </c>
      <c r="P532" t="s">
        <v>197</v>
      </c>
      <c r="Q532" t="s">
        <v>1504</v>
      </c>
      <c r="R532" t="s">
        <v>3000</v>
      </c>
      <c r="S532">
        <v>3</v>
      </c>
      <c r="T532" s="2">
        <v>0.3</v>
      </c>
      <c r="U532" t="s">
        <v>3001</v>
      </c>
      <c r="V532" t="str">
        <f>CHOOSE(MOD(SalesData[[#This Row],[Row ID]]-1,8)+1,"Aarav Sharma","Ananya Singh","Rohan Verma","Priya Gupta","Arjun Mehta","Neha Kapoor","Rahul Joshi","Sneha Patel")</f>
        <v>Sneha Patel</v>
      </c>
      <c r="W53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32" s="8">
        <f>IFERROR(VALUE(SUBSTITUTE(SUBSTITUTE(SalesData[[#This Row],[Profit]],"$",""),",",""))/VALUE(SUBSTITUTE(SUBSTITUTE(SalesData[[#This Row],[Sales]],"$",""),",","")),0)</f>
        <v>-7.721754347588318E-2</v>
      </c>
      <c r="Y532" s="6">
        <f>IFERROR(VALUE(SUBSTITUTE(SUBSTITUTE(SalesData[[#This Row],[Sales]],"$",""),",",""))/SalesData[[#This Row],[Quantity]],0)</f>
        <v>60.95333333333334</v>
      </c>
      <c r="Z532">
        <f>YEAR(SalesData[[#This Row],[Order Date]])</f>
        <v>2024</v>
      </c>
      <c r="AA532" t="str">
        <f>TEXT(SalesData[[#This Row],[Order Date]],"mmm")</f>
        <v>Aug</v>
      </c>
      <c r="AB53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33" spans="1:28">
      <c r="A533">
        <v>74</v>
      </c>
      <c r="B533" t="s">
        <v>3002</v>
      </c>
      <c r="C533" s="1">
        <v>45534</v>
      </c>
      <c r="D533" s="1">
        <v>45539</v>
      </c>
      <c r="E533" t="s">
        <v>49</v>
      </c>
      <c r="F533" t="s">
        <v>3003</v>
      </c>
      <c r="G533" t="s">
        <v>683</v>
      </c>
      <c r="H533" t="s">
        <v>39</v>
      </c>
      <c r="I533" t="s">
        <v>26</v>
      </c>
      <c r="J533" t="s">
        <v>204</v>
      </c>
      <c r="K533" t="s">
        <v>204</v>
      </c>
      <c r="L533">
        <v>75082</v>
      </c>
      <c r="M533" t="s">
        <v>28</v>
      </c>
      <c r="N533" t="s">
        <v>2278</v>
      </c>
      <c r="O533" t="s">
        <v>64</v>
      </c>
      <c r="P533" t="s">
        <v>136</v>
      </c>
      <c r="Q533" t="s">
        <v>2216</v>
      </c>
      <c r="R533" t="s">
        <v>3004</v>
      </c>
      <c r="S533">
        <v>3</v>
      </c>
      <c r="T533" s="2">
        <v>0.3</v>
      </c>
      <c r="U533" t="s">
        <v>3005</v>
      </c>
      <c r="V533" t="str">
        <f>CHOOSE(MOD(SalesData[[#This Row],[Row ID]]-1,8)+1,"Aarav Sharma","Ananya Singh","Rohan Verma","Priya Gupta","Arjun Mehta","Neha Kapoor","Rahul Joshi","Sneha Patel")</f>
        <v>Ananya Singh</v>
      </c>
      <c r="W53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33" s="8">
        <f>IFERROR(VALUE(SUBSTITUTE(SUBSTITUTE(SalesData[[#This Row],[Profit]],"$",""),",",""))/VALUE(SUBSTITUTE(SUBSTITUTE(SalesData[[#This Row],[Sales]],"$",""),",","")),0)</f>
        <v>4.5972719485140687E-2</v>
      </c>
      <c r="Y533" s="6">
        <f>IFERROR(VALUE(SUBSTITUTE(SUBSTITUTE(SalesData[[#This Row],[Sales]],"$",""),",",""))/SalesData[[#This Row],[Quantity]],0)</f>
        <v>151.75666666666666</v>
      </c>
      <c r="Z533">
        <f>YEAR(SalesData[[#This Row],[Order Date]])</f>
        <v>2024</v>
      </c>
      <c r="AA533" t="str">
        <f>TEXT(SalesData[[#This Row],[Order Date]],"mmm")</f>
        <v>Aug</v>
      </c>
      <c r="AB53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34" spans="1:28">
      <c r="A534">
        <v>97</v>
      </c>
      <c r="B534" t="s">
        <v>3006</v>
      </c>
      <c r="C534" s="1">
        <v>45536</v>
      </c>
      <c r="D534" s="1">
        <v>45539</v>
      </c>
      <c r="E534" t="s">
        <v>49</v>
      </c>
      <c r="F534" t="s">
        <v>3007</v>
      </c>
      <c r="G534" t="s">
        <v>648</v>
      </c>
      <c r="H534" t="s">
        <v>39</v>
      </c>
      <c r="I534" t="s">
        <v>26</v>
      </c>
      <c r="J534" t="s">
        <v>260</v>
      </c>
      <c r="K534" t="s">
        <v>260</v>
      </c>
      <c r="L534">
        <v>56881</v>
      </c>
      <c r="M534" t="s">
        <v>41</v>
      </c>
      <c r="N534" t="s">
        <v>3008</v>
      </c>
      <c r="O534" t="s">
        <v>43</v>
      </c>
      <c r="P534" t="s">
        <v>189</v>
      </c>
      <c r="Q534" t="s">
        <v>1327</v>
      </c>
      <c r="R534" t="s">
        <v>3009</v>
      </c>
      <c r="S534">
        <v>7</v>
      </c>
      <c r="T534" s="2">
        <v>0.05</v>
      </c>
      <c r="U534" t="s">
        <v>3010</v>
      </c>
      <c r="V534" t="str">
        <f>CHOOSE(MOD(SalesData[[#This Row],[Row ID]]-1,8)+1,"Aarav Sharma","Ananya Singh","Rohan Verma","Priya Gupta","Arjun Mehta","Neha Kapoor","Rahul Joshi","Sneha Patel")</f>
        <v>Aarav Sharma</v>
      </c>
      <c r="W53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34" s="8">
        <f>IFERROR(VALUE(SUBSTITUTE(SUBSTITUTE(SalesData[[#This Row],[Profit]],"$",""),",",""))/VALUE(SUBSTITUTE(SUBSTITUTE(SalesData[[#This Row],[Sales]],"$",""),",","")),0)</f>
        <v>0.18518518518518517</v>
      </c>
      <c r="Y534" s="6">
        <f>IFERROR(VALUE(SUBSTITUTE(SUBSTITUTE(SalesData[[#This Row],[Sales]],"$",""),",",""))/SalesData[[#This Row],[Quantity]],0)</f>
        <v>7.4057142857142866</v>
      </c>
      <c r="Z534">
        <f>YEAR(SalesData[[#This Row],[Order Date]])</f>
        <v>2024</v>
      </c>
      <c r="AA534" t="str">
        <f>TEXT(SalesData[[#This Row],[Order Date]],"mmm")</f>
        <v>Sep</v>
      </c>
      <c r="AB53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35" spans="1:28">
      <c r="A535">
        <v>66</v>
      </c>
      <c r="B535" t="s">
        <v>3011</v>
      </c>
      <c r="C535" s="1">
        <v>45537</v>
      </c>
      <c r="D535" s="1">
        <v>45542</v>
      </c>
      <c r="E535" t="s">
        <v>382</v>
      </c>
      <c r="F535" t="s">
        <v>3012</v>
      </c>
      <c r="G535" t="s">
        <v>594</v>
      </c>
      <c r="H535" t="s">
        <v>25</v>
      </c>
      <c r="I535" t="s">
        <v>26</v>
      </c>
      <c r="J535" t="s">
        <v>150</v>
      </c>
      <c r="K535" t="s">
        <v>150</v>
      </c>
      <c r="L535">
        <v>92310</v>
      </c>
      <c r="M535" t="s">
        <v>73</v>
      </c>
      <c r="N535" t="s">
        <v>1532</v>
      </c>
      <c r="O535" t="s">
        <v>64</v>
      </c>
      <c r="P535" t="s">
        <v>105</v>
      </c>
      <c r="Q535" t="s">
        <v>3013</v>
      </c>
      <c r="R535" t="s">
        <v>3014</v>
      </c>
      <c r="S535">
        <v>1</v>
      </c>
      <c r="T535" s="2">
        <v>0.05</v>
      </c>
      <c r="U535" t="s">
        <v>3015</v>
      </c>
      <c r="V535" t="str">
        <f>CHOOSE(MOD(SalesData[[#This Row],[Row ID]]-1,8)+1,"Aarav Sharma","Ananya Singh","Rohan Verma","Priya Gupta","Arjun Mehta","Neha Kapoor","Rahul Joshi","Sneha Patel")</f>
        <v>Ananya Singh</v>
      </c>
      <c r="W53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35" s="8">
        <f>IFERROR(VALUE(SUBSTITUTE(SUBSTITUTE(SalesData[[#This Row],[Profit]],"$",""),",",""))/VALUE(SUBSTITUTE(SUBSTITUTE(SalesData[[#This Row],[Sales]],"$",""),",","")),0)</f>
        <v>0.26269457237800969</v>
      </c>
      <c r="Y535" s="6">
        <f>IFERROR(VALUE(SUBSTITUTE(SUBSTITUTE(SalesData[[#This Row],[Sales]],"$",""),",",""))/SalesData[[#This Row],[Quantity]],0)</f>
        <v>171.53</v>
      </c>
      <c r="Z535">
        <f>YEAR(SalesData[[#This Row],[Order Date]])</f>
        <v>2024</v>
      </c>
      <c r="AA535" t="str">
        <f>TEXT(SalesData[[#This Row],[Order Date]],"mmm")</f>
        <v>Sep</v>
      </c>
      <c r="AB53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36" spans="1:28">
      <c r="A536">
        <v>461</v>
      </c>
      <c r="B536" t="s">
        <v>3016</v>
      </c>
      <c r="C536" s="1">
        <v>45542</v>
      </c>
      <c r="D536" s="1">
        <v>45545</v>
      </c>
      <c r="E536" t="s">
        <v>22</v>
      </c>
      <c r="F536" t="s">
        <v>3017</v>
      </c>
      <c r="G536" t="s">
        <v>1044</v>
      </c>
      <c r="H536" t="s">
        <v>60</v>
      </c>
      <c r="I536" t="s">
        <v>26</v>
      </c>
      <c r="J536" t="s">
        <v>96</v>
      </c>
      <c r="K536" t="s">
        <v>96</v>
      </c>
      <c r="L536">
        <v>21254</v>
      </c>
      <c r="M536" t="s">
        <v>28</v>
      </c>
      <c r="N536" t="s">
        <v>3018</v>
      </c>
      <c r="O536" t="s">
        <v>43</v>
      </c>
      <c r="P536" t="s">
        <v>83</v>
      </c>
      <c r="Q536" t="s">
        <v>1065</v>
      </c>
      <c r="R536" t="s">
        <v>1173</v>
      </c>
      <c r="S536">
        <v>5</v>
      </c>
      <c r="T536" s="2">
        <v>0.2</v>
      </c>
      <c r="U536" t="s">
        <v>3019</v>
      </c>
      <c r="V536" t="str">
        <f>CHOOSE(MOD(SalesData[[#This Row],[Row ID]]-1,8)+1,"Aarav Sharma","Ananya Singh","Rohan Verma","Priya Gupta","Arjun Mehta","Neha Kapoor","Rahul Joshi","Sneha Patel")</f>
        <v>Arjun Mehta</v>
      </c>
      <c r="W53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36" s="8">
        <f>IFERROR(VALUE(SUBSTITUTE(SUBSTITUTE(SalesData[[#This Row],[Profit]],"$",""),",",""))/VALUE(SUBSTITUTE(SUBSTITUTE(SalesData[[#This Row],[Sales]],"$",""),",","")),0)</f>
        <v>0.12625</v>
      </c>
      <c r="Y536" s="6">
        <f>IFERROR(VALUE(SUBSTITUTE(SUBSTITUTE(SalesData[[#This Row],[Sales]],"$",""),",",""))/SalesData[[#This Row],[Quantity]],0)</f>
        <v>1.6</v>
      </c>
      <c r="Z536">
        <f>YEAR(SalesData[[#This Row],[Order Date]])</f>
        <v>2024</v>
      </c>
      <c r="AA536" t="str">
        <f>TEXT(SalesData[[#This Row],[Order Date]],"mmm")</f>
        <v>Sep</v>
      </c>
      <c r="AB53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37" spans="1:28">
      <c r="A537">
        <v>450</v>
      </c>
      <c r="B537" t="s">
        <v>3020</v>
      </c>
      <c r="C537" s="1">
        <v>45546</v>
      </c>
      <c r="D537" s="1">
        <v>45549</v>
      </c>
      <c r="E537" t="s">
        <v>49</v>
      </c>
      <c r="F537" t="s">
        <v>3021</v>
      </c>
      <c r="G537" t="s">
        <v>1212</v>
      </c>
      <c r="H537" t="s">
        <v>25</v>
      </c>
      <c r="I537" t="s">
        <v>26</v>
      </c>
      <c r="J537" t="s">
        <v>438</v>
      </c>
      <c r="K537" t="s">
        <v>438</v>
      </c>
      <c r="L537">
        <v>15295</v>
      </c>
      <c r="M537" t="s">
        <v>28</v>
      </c>
      <c r="N537" t="s">
        <v>1088</v>
      </c>
      <c r="O537" t="s">
        <v>30</v>
      </c>
      <c r="P537" t="s">
        <v>197</v>
      </c>
      <c r="Q537" t="s">
        <v>806</v>
      </c>
      <c r="R537" t="s">
        <v>3022</v>
      </c>
      <c r="S537">
        <v>7</v>
      </c>
      <c r="T537" s="2">
        <v>0</v>
      </c>
      <c r="U537" t="s">
        <v>3023</v>
      </c>
      <c r="V537" t="str">
        <f>CHOOSE(MOD(SalesData[[#This Row],[Row ID]]-1,8)+1,"Aarav Sharma","Ananya Singh","Rohan Verma","Priya Gupta","Arjun Mehta","Neha Kapoor","Rahul Joshi","Sneha Patel")</f>
        <v>Ananya Singh</v>
      </c>
      <c r="W53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37" s="8">
        <f>IFERROR(VALUE(SUBSTITUTE(SUBSTITUTE(SalesData[[#This Row],[Profit]],"$",""),",",""))/VALUE(SUBSTITUTE(SUBSTITUTE(SalesData[[#This Row],[Sales]],"$",""),",","")),0)</f>
        <v>0.1680166258126399</v>
      </c>
      <c r="Y537" s="6">
        <f>IFERROR(VALUE(SUBSTITUTE(SUBSTITUTE(SalesData[[#This Row],[Sales]],"$",""),",",""))/SalesData[[#This Row],[Quantity]],0)</f>
        <v>26.80857142857143</v>
      </c>
      <c r="Z537">
        <f>YEAR(SalesData[[#This Row],[Order Date]])</f>
        <v>2024</v>
      </c>
      <c r="AA537" t="str">
        <f>TEXT(SalesData[[#This Row],[Order Date]],"mmm")</f>
        <v>Sep</v>
      </c>
      <c r="AB53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38" spans="1:28">
      <c r="A538">
        <v>129</v>
      </c>
      <c r="B538" t="s">
        <v>3024</v>
      </c>
      <c r="C538" s="1">
        <v>45546</v>
      </c>
      <c r="D538" s="1">
        <v>45552</v>
      </c>
      <c r="E538" t="s">
        <v>36</v>
      </c>
      <c r="F538" t="s">
        <v>3025</v>
      </c>
      <c r="G538" t="s">
        <v>1572</v>
      </c>
      <c r="H538" t="s">
        <v>25</v>
      </c>
      <c r="I538" t="s">
        <v>26</v>
      </c>
      <c r="J538" t="s">
        <v>157</v>
      </c>
      <c r="K538" t="s">
        <v>157</v>
      </c>
      <c r="L538">
        <v>51800</v>
      </c>
      <c r="M538" t="s">
        <v>62</v>
      </c>
      <c r="N538" t="s">
        <v>3026</v>
      </c>
      <c r="O538" t="s">
        <v>30</v>
      </c>
      <c r="P538" t="s">
        <v>197</v>
      </c>
      <c r="Q538" t="s">
        <v>1958</v>
      </c>
      <c r="R538" t="s">
        <v>3027</v>
      </c>
      <c r="S538">
        <v>6</v>
      </c>
      <c r="T538" s="2">
        <v>0.15</v>
      </c>
      <c r="U538" t="s">
        <v>3028</v>
      </c>
      <c r="V538" t="str">
        <f>CHOOSE(MOD(SalesData[[#This Row],[Row ID]]-1,8)+1,"Aarav Sharma","Ananya Singh","Rohan Verma","Priya Gupta","Arjun Mehta","Neha Kapoor","Rahul Joshi","Sneha Patel")</f>
        <v>Aarav Sharma</v>
      </c>
      <c r="W53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38" s="8">
        <f>IFERROR(VALUE(SUBSTITUTE(SUBSTITUTE(SalesData[[#This Row],[Profit]],"$",""),",",""))/VALUE(SUBSTITUTE(SUBSTITUTE(SalesData[[#This Row],[Sales]],"$",""),",","")),0)</f>
        <v>3.1318939640519329E-2</v>
      </c>
      <c r="Y538" s="6">
        <f>IFERROR(VALUE(SUBSTITUTE(SUBSTITUTE(SalesData[[#This Row],[Sales]],"$",""),",",""))/SalesData[[#This Row],[Quantity]],0)</f>
        <v>46.085000000000001</v>
      </c>
      <c r="Z538">
        <f>YEAR(SalesData[[#This Row],[Order Date]])</f>
        <v>2024</v>
      </c>
      <c r="AA538" t="str">
        <f>TEXT(SalesData[[#This Row],[Order Date]],"mmm")</f>
        <v>Sep</v>
      </c>
      <c r="AB53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39" spans="1:28">
      <c r="A539">
        <v>152</v>
      </c>
      <c r="B539" t="s">
        <v>3029</v>
      </c>
      <c r="C539" s="1">
        <v>45547</v>
      </c>
      <c r="D539" s="1">
        <v>45552</v>
      </c>
      <c r="E539" t="s">
        <v>49</v>
      </c>
      <c r="F539" t="s">
        <v>3030</v>
      </c>
      <c r="G539" t="s">
        <v>329</v>
      </c>
      <c r="H539" t="s">
        <v>39</v>
      </c>
      <c r="I539" t="s">
        <v>26</v>
      </c>
      <c r="J539" t="s">
        <v>641</v>
      </c>
      <c r="K539" t="s">
        <v>641</v>
      </c>
      <c r="L539">
        <v>72493</v>
      </c>
      <c r="M539" t="s">
        <v>62</v>
      </c>
      <c r="N539" t="s">
        <v>3031</v>
      </c>
      <c r="O539" t="s">
        <v>43</v>
      </c>
      <c r="P539" t="s">
        <v>214</v>
      </c>
      <c r="Q539" t="s">
        <v>563</v>
      </c>
      <c r="R539" t="s">
        <v>3032</v>
      </c>
      <c r="S539">
        <v>3</v>
      </c>
      <c r="T539" s="2">
        <v>0.15</v>
      </c>
      <c r="U539" t="s">
        <v>3033</v>
      </c>
      <c r="V539" t="str">
        <f>CHOOSE(MOD(SalesData[[#This Row],[Row ID]]-1,8)+1,"Aarav Sharma","Ananya Singh","Rohan Verma","Priya Gupta","Arjun Mehta","Neha Kapoor","Rahul Joshi","Sneha Patel")</f>
        <v>Sneha Patel</v>
      </c>
      <c r="W53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39" s="8">
        <f>IFERROR(VALUE(SUBSTITUTE(SUBSTITUTE(SalesData[[#This Row],[Profit]],"$",""),",",""))/VALUE(SUBSTITUTE(SUBSTITUTE(SalesData[[#This Row],[Sales]],"$",""),",","")),0)</f>
        <v>6.872349758736658E-2</v>
      </c>
      <c r="Y539" s="6">
        <f>IFERROR(VALUE(SUBSTITUTE(SUBSTITUTE(SalesData[[#This Row],[Sales]],"$",""),",",""))/SalesData[[#This Row],[Quantity]],0)</f>
        <v>22.796666666666667</v>
      </c>
      <c r="Z539">
        <f>YEAR(SalesData[[#This Row],[Order Date]])</f>
        <v>2024</v>
      </c>
      <c r="AA539" t="str">
        <f>TEXT(SalesData[[#This Row],[Order Date]],"mmm")</f>
        <v>Sep</v>
      </c>
      <c r="AB53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40" spans="1:28">
      <c r="A540">
        <v>365</v>
      </c>
      <c r="B540" t="s">
        <v>3034</v>
      </c>
      <c r="C540" s="1">
        <v>45549</v>
      </c>
      <c r="D540" s="1">
        <v>45552</v>
      </c>
      <c r="E540" t="s">
        <v>36</v>
      </c>
      <c r="F540" t="s">
        <v>3035</v>
      </c>
      <c r="G540" t="s">
        <v>1997</v>
      </c>
      <c r="H540" t="s">
        <v>25</v>
      </c>
      <c r="I540" t="s">
        <v>26</v>
      </c>
      <c r="J540" t="s">
        <v>260</v>
      </c>
      <c r="K540" t="s">
        <v>260</v>
      </c>
      <c r="L540">
        <v>43332</v>
      </c>
      <c r="M540" t="s">
        <v>41</v>
      </c>
      <c r="N540" t="s">
        <v>3036</v>
      </c>
      <c r="O540" t="s">
        <v>43</v>
      </c>
      <c r="P540" t="s">
        <v>128</v>
      </c>
      <c r="Q540" t="s">
        <v>911</v>
      </c>
      <c r="R540" t="s">
        <v>3037</v>
      </c>
      <c r="S540">
        <v>2</v>
      </c>
      <c r="T540" s="2">
        <v>0.2</v>
      </c>
      <c r="U540" t="s">
        <v>3038</v>
      </c>
      <c r="V540" t="str">
        <f>CHOOSE(MOD(SalesData[[#This Row],[Row ID]]-1,8)+1,"Aarav Sharma","Ananya Singh","Rohan Verma","Priya Gupta","Arjun Mehta","Neha Kapoor","Rahul Joshi","Sneha Patel")</f>
        <v>Arjun Mehta</v>
      </c>
      <c r="W54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40" s="8">
        <f>IFERROR(VALUE(SUBSTITUTE(SUBSTITUTE(SalesData[[#This Row],[Profit]],"$",""),",",""))/VALUE(SUBSTITUTE(SUBSTITUTE(SalesData[[#This Row],[Sales]],"$",""),",","")),0)</f>
        <v>3.4692107545533399E-3</v>
      </c>
      <c r="Y540" s="6">
        <f>IFERROR(VALUE(SUBSTITUTE(SUBSTITUTE(SalesData[[#This Row],[Sales]],"$",""),",",""))/SalesData[[#This Row],[Quantity]],0)</f>
        <v>40.354999999999997</v>
      </c>
      <c r="Z540">
        <f>YEAR(SalesData[[#This Row],[Order Date]])</f>
        <v>2024</v>
      </c>
      <c r="AA540" t="str">
        <f>TEXT(SalesData[[#This Row],[Order Date]],"mmm")</f>
        <v>Sep</v>
      </c>
      <c r="AB54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41" spans="1:28">
      <c r="A541">
        <v>456</v>
      </c>
      <c r="B541" t="s">
        <v>3039</v>
      </c>
      <c r="C541" s="1">
        <v>45549</v>
      </c>
      <c r="D541" s="1">
        <v>45550</v>
      </c>
      <c r="E541" t="s">
        <v>36</v>
      </c>
      <c r="F541" t="s">
        <v>3040</v>
      </c>
      <c r="G541" t="s">
        <v>445</v>
      </c>
      <c r="H541" t="s">
        <v>39</v>
      </c>
      <c r="I541" t="s">
        <v>26</v>
      </c>
      <c r="J541" t="s">
        <v>61</v>
      </c>
      <c r="K541" t="s">
        <v>61</v>
      </c>
      <c r="L541">
        <v>93346</v>
      </c>
      <c r="M541" t="s">
        <v>62</v>
      </c>
      <c r="N541" t="s">
        <v>569</v>
      </c>
      <c r="O541" t="s">
        <v>30</v>
      </c>
      <c r="P541" t="s">
        <v>197</v>
      </c>
      <c r="Q541" t="s">
        <v>2509</v>
      </c>
      <c r="R541" t="s">
        <v>3041</v>
      </c>
      <c r="S541">
        <v>4</v>
      </c>
      <c r="T541" s="2">
        <v>0.15</v>
      </c>
      <c r="U541" t="s">
        <v>3042</v>
      </c>
      <c r="V541" t="str">
        <f>CHOOSE(MOD(SalesData[[#This Row],[Row ID]]-1,8)+1,"Aarav Sharma","Ananya Singh","Rohan Verma","Priya Gupta","Arjun Mehta","Neha Kapoor","Rahul Joshi","Sneha Patel")</f>
        <v>Sneha Patel</v>
      </c>
      <c r="W54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41" s="8">
        <f>IFERROR(VALUE(SUBSTITUTE(SUBSTITUTE(SalesData[[#This Row],[Profit]],"$",""),",",""))/VALUE(SUBSTITUTE(SUBSTITUTE(SalesData[[#This Row],[Sales]],"$",""),",","")),0)</f>
        <v>8.0101299066735451E-2</v>
      </c>
      <c r="Y541" s="6">
        <f>IFERROR(VALUE(SUBSTITUTE(SUBSTITUTE(SalesData[[#This Row],[Sales]],"$",""),",",""))/SalesData[[#This Row],[Quantity]],0)</f>
        <v>106.61499999999999</v>
      </c>
      <c r="Z541">
        <f>YEAR(SalesData[[#This Row],[Order Date]])</f>
        <v>2024</v>
      </c>
      <c r="AA541" t="str">
        <f>TEXT(SalesData[[#This Row],[Order Date]],"mmm")</f>
        <v>Sep</v>
      </c>
      <c r="AB54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42" spans="1:28">
      <c r="A542">
        <v>261</v>
      </c>
      <c r="B542" t="s">
        <v>3043</v>
      </c>
      <c r="C542" s="1">
        <v>45550</v>
      </c>
      <c r="D542" s="1">
        <v>45556</v>
      </c>
      <c r="E542" t="s">
        <v>36</v>
      </c>
      <c r="F542" t="s">
        <v>3044</v>
      </c>
      <c r="G542" t="s">
        <v>909</v>
      </c>
      <c r="H542" t="s">
        <v>25</v>
      </c>
      <c r="I542" t="s">
        <v>26</v>
      </c>
      <c r="J542" t="s">
        <v>229</v>
      </c>
      <c r="K542" t="s">
        <v>229</v>
      </c>
      <c r="L542">
        <v>30666</v>
      </c>
      <c r="M542" t="s">
        <v>73</v>
      </c>
      <c r="N542" t="s">
        <v>3045</v>
      </c>
      <c r="O542" t="s">
        <v>64</v>
      </c>
      <c r="P542" t="s">
        <v>136</v>
      </c>
      <c r="Q542" t="s">
        <v>3046</v>
      </c>
      <c r="R542" t="s">
        <v>3047</v>
      </c>
      <c r="S542">
        <v>3</v>
      </c>
      <c r="T542" s="2">
        <v>0.15</v>
      </c>
      <c r="U542" t="s">
        <v>3048</v>
      </c>
      <c r="V542" t="str">
        <f>CHOOSE(MOD(SalesData[[#This Row],[Row ID]]-1,8)+1,"Aarav Sharma","Ananya Singh","Rohan Verma","Priya Gupta","Arjun Mehta","Neha Kapoor","Rahul Joshi","Sneha Patel")</f>
        <v>Arjun Mehta</v>
      </c>
      <c r="W54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42" s="8">
        <f>IFERROR(VALUE(SUBSTITUTE(SUBSTITUTE(SalesData[[#This Row],[Profit]],"$",""),",",""))/VALUE(SUBSTITUTE(SUBSTITUTE(SalesData[[#This Row],[Sales]],"$",""),",","")),0)</f>
        <v>0.16408290504676049</v>
      </c>
      <c r="Y542" s="6">
        <f>IFERROR(VALUE(SUBSTITUTE(SUBSTITUTE(SalesData[[#This Row],[Sales]],"$",""),",",""))/SalesData[[#This Row],[Quantity]],0)</f>
        <v>79.126666666666665</v>
      </c>
      <c r="Z542">
        <f>YEAR(SalesData[[#This Row],[Order Date]])</f>
        <v>2024</v>
      </c>
      <c r="AA542" t="str">
        <f>TEXT(SalesData[[#This Row],[Order Date]],"mmm")</f>
        <v>Sep</v>
      </c>
      <c r="AB54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43" spans="1:28">
      <c r="A543">
        <v>56</v>
      </c>
      <c r="B543" t="s">
        <v>3049</v>
      </c>
      <c r="C543" s="1">
        <v>45551</v>
      </c>
      <c r="D543" s="1">
        <v>45555</v>
      </c>
      <c r="E543" t="s">
        <v>36</v>
      </c>
      <c r="F543" t="s">
        <v>3050</v>
      </c>
      <c r="G543" t="s">
        <v>601</v>
      </c>
      <c r="H543" t="s">
        <v>25</v>
      </c>
      <c r="I543" t="s">
        <v>26</v>
      </c>
      <c r="J543" t="s">
        <v>237</v>
      </c>
      <c r="K543" t="s">
        <v>237</v>
      </c>
      <c r="L543">
        <v>36737</v>
      </c>
      <c r="M543" t="s">
        <v>41</v>
      </c>
      <c r="N543" t="s">
        <v>3051</v>
      </c>
      <c r="O543" t="s">
        <v>64</v>
      </c>
      <c r="P543" t="s">
        <v>136</v>
      </c>
      <c r="Q543" t="s">
        <v>310</v>
      </c>
      <c r="R543" t="s">
        <v>3052</v>
      </c>
      <c r="S543">
        <v>3</v>
      </c>
      <c r="T543" s="2">
        <v>0</v>
      </c>
      <c r="U543" t="s">
        <v>3053</v>
      </c>
      <c r="V543" t="str">
        <f>CHOOSE(MOD(SalesData[[#This Row],[Row ID]]-1,8)+1,"Aarav Sharma","Ananya Singh","Rohan Verma","Priya Gupta","Arjun Mehta","Neha Kapoor","Rahul Joshi","Sneha Patel")</f>
        <v>Sneha Patel</v>
      </c>
      <c r="W54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43" s="8">
        <f>IFERROR(VALUE(SUBSTITUTE(SUBSTITUTE(SalesData[[#This Row],[Profit]],"$",""),",",""))/VALUE(SUBSTITUTE(SUBSTITUTE(SalesData[[#This Row],[Sales]],"$",""),",","")),0)</f>
        <v>0.24351569429121508</v>
      </c>
      <c r="Y543" s="6">
        <f>IFERROR(VALUE(SUBSTITUTE(SUBSTITUTE(SalesData[[#This Row],[Sales]],"$",""),",",""))/SalesData[[#This Row],[Quantity]],0)</f>
        <v>154.09</v>
      </c>
      <c r="Z543">
        <f>YEAR(SalesData[[#This Row],[Order Date]])</f>
        <v>2024</v>
      </c>
      <c r="AA543" t="str">
        <f>TEXT(SalesData[[#This Row],[Order Date]],"mmm")</f>
        <v>Sep</v>
      </c>
      <c r="AB54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44" spans="1:28">
      <c r="A544">
        <v>117</v>
      </c>
      <c r="B544" t="s">
        <v>3054</v>
      </c>
      <c r="C544" s="1">
        <v>45553</v>
      </c>
      <c r="D544" s="1">
        <v>45556</v>
      </c>
      <c r="E544" t="s">
        <v>382</v>
      </c>
      <c r="F544" t="s">
        <v>3055</v>
      </c>
      <c r="G544" t="s">
        <v>869</v>
      </c>
      <c r="H544" t="s">
        <v>25</v>
      </c>
      <c r="I544" t="s">
        <v>26</v>
      </c>
      <c r="J544" t="s">
        <v>229</v>
      </c>
      <c r="K544" t="s">
        <v>229</v>
      </c>
      <c r="L544">
        <v>44964</v>
      </c>
      <c r="M544" t="s">
        <v>73</v>
      </c>
      <c r="N544" t="s">
        <v>1712</v>
      </c>
      <c r="O544" t="s">
        <v>30</v>
      </c>
      <c r="P544" t="s">
        <v>120</v>
      </c>
      <c r="Q544" t="s">
        <v>576</v>
      </c>
      <c r="R544" t="s">
        <v>3056</v>
      </c>
      <c r="S544">
        <v>7</v>
      </c>
      <c r="T544" s="2">
        <v>0</v>
      </c>
      <c r="U544" t="s">
        <v>3057</v>
      </c>
      <c r="V544" t="str">
        <f>CHOOSE(MOD(SalesData[[#This Row],[Row ID]]-1,8)+1,"Aarav Sharma","Ananya Singh","Rohan Verma","Priya Gupta","Arjun Mehta","Neha Kapoor","Rahul Joshi","Sneha Patel")</f>
        <v>Arjun Mehta</v>
      </c>
      <c r="W54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44" s="8">
        <f>IFERROR(VALUE(SUBSTITUTE(SUBSTITUTE(SalesData[[#This Row],[Profit]],"$",""),",",""))/VALUE(SUBSTITUTE(SUBSTITUTE(SalesData[[#This Row],[Sales]],"$",""),",","")),0)</f>
        <v>0.17969053728325945</v>
      </c>
      <c r="Y544" s="6">
        <f>IFERROR(VALUE(SUBSTITUTE(SUBSTITUTE(SalesData[[#This Row],[Sales]],"$",""),",",""))/SalesData[[#This Row],[Quantity]],0)</f>
        <v>18.372857142857146</v>
      </c>
      <c r="Z544">
        <f>YEAR(SalesData[[#This Row],[Order Date]])</f>
        <v>2024</v>
      </c>
      <c r="AA544" t="str">
        <f>TEXT(SalesData[[#This Row],[Order Date]],"mmm")</f>
        <v>Sep</v>
      </c>
      <c r="AB54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45" spans="1:28">
      <c r="A545">
        <v>360</v>
      </c>
      <c r="B545" t="s">
        <v>3058</v>
      </c>
      <c r="C545" s="1">
        <v>45554</v>
      </c>
      <c r="D545" s="1">
        <v>45558</v>
      </c>
      <c r="E545" t="s">
        <v>49</v>
      </c>
      <c r="F545" t="s">
        <v>3059</v>
      </c>
      <c r="G545" t="s">
        <v>252</v>
      </c>
      <c r="H545" t="s">
        <v>25</v>
      </c>
      <c r="I545" t="s">
        <v>26</v>
      </c>
      <c r="J545" t="s">
        <v>245</v>
      </c>
      <c r="K545" t="s">
        <v>245</v>
      </c>
      <c r="L545">
        <v>22161</v>
      </c>
      <c r="M545" t="s">
        <v>41</v>
      </c>
      <c r="N545" t="s">
        <v>3060</v>
      </c>
      <c r="O545" t="s">
        <v>43</v>
      </c>
      <c r="P545" t="s">
        <v>128</v>
      </c>
      <c r="Q545" t="s">
        <v>3061</v>
      </c>
      <c r="R545" t="s">
        <v>3062</v>
      </c>
      <c r="S545">
        <v>7</v>
      </c>
      <c r="T545" s="2">
        <v>0</v>
      </c>
      <c r="U545" t="s">
        <v>3063</v>
      </c>
      <c r="V545" t="str">
        <f>CHOOSE(MOD(SalesData[[#This Row],[Row ID]]-1,8)+1,"Aarav Sharma","Ananya Singh","Rohan Verma","Priya Gupta","Arjun Mehta","Neha Kapoor","Rahul Joshi","Sneha Patel")</f>
        <v>Sneha Patel</v>
      </c>
      <c r="W54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45" s="8">
        <f>IFERROR(VALUE(SUBSTITUTE(SUBSTITUTE(SalesData[[#This Row],[Profit]],"$",""),",",""))/VALUE(SUBSTITUTE(SUBSTITUTE(SalesData[[#This Row],[Sales]],"$",""),",","")),0)</f>
        <v>0.1992727272727273</v>
      </c>
      <c r="Y545" s="6">
        <f>IFERROR(VALUE(SUBSTITUTE(SUBSTITUTE(SalesData[[#This Row],[Sales]],"$",""),",",""))/SalesData[[#This Row],[Quantity]],0)</f>
        <v>3.9285714285714284</v>
      </c>
      <c r="Z545">
        <f>YEAR(SalesData[[#This Row],[Order Date]])</f>
        <v>2024</v>
      </c>
      <c r="AA545" t="str">
        <f>TEXT(SalesData[[#This Row],[Order Date]],"mmm")</f>
        <v>Sep</v>
      </c>
      <c r="AB54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46" spans="1:28">
      <c r="A546">
        <v>22</v>
      </c>
      <c r="B546" t="s">
        <v>3064</v>
      </c>
      <c r="C546" s="1">
        <v>45558</v>
      </c>
      <c r="D546" s="1">
        <v>45560</v>
      </c>
      <c r="E546" t="s">
        <v>36</v>
      </c>
      <c r="F546" t="s">
        <v>3065</v>
      </c>
      <c r="G546" t="s">
        <v>2122</v>
      </c>
      <c r="H546" t="s">
        <v>25</v>
      </c>
      <c r="I546" t="s">
        <v>26</v>
      </c>
      <c r="J546" t="s">
        <v>301</v>
      </c>
      <c r="K546" t="s">
        <v>301</v>
      </c>
      <c r="L546">
        <v>36646</v>
      </c>
      <c r="M546" t="s">
        <v>73</v>
      </c>
      <c r="N546" t="s">
        <v>1583</v>
      </c>
      <c r="O546" t="s">
        <v>30</v>
      </c>
      <c r="P546" t="s">
        <v>31</v>
      </c>
      <c r="Q546" t="s">
        <v>386</v>
      </c>
      <c r="R546" t="s">
        <v>2971</v>
      </c>
      <c r="S546">
        <v>2</v>
      </c>
      <c r="T546" s="2">
        <v>0.3</v>
      </c>
      <c r="U546" t="s">
        <v>3066</v>
      </c>
      <c r="V546" t="str">
        <f>CHOOSE(MOD(SalesData[[#This Row],[Row ID]]-1,8)+1,"Aarav Sharma","Ananya Singh","Rohan Verma","Priya Gupta","Arjun Mehta","Neha Kapoor","Rahul Joshi","Sneha Patel")</f>
        <v>Neha Kapoor</v>
      </c>
      <c r="W54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46" s="8">
        <f>IFERROR(VALUE(SUBSTITUTE(SUBSTITUTE(SalesData[[#This Row],[Profit]],"$",""),",",""))/VALUE(SUBSTITUTE(SUBSTITUTE(SalesData[[#This Row],[Sales]],"$",""),",","")),0)</f>
        <v>-6.4720031325166419E-2</v>
      </c>
      <c r="Y546" s="6">
        <f>IFERROR(VALUE(SUBSTITUTE(SUBSTITUTE(SalesData[[#This Row],[Sales]],"$",""),",",""))/SalesData[[#This Row],[Quantity]],0)</f>
        <v>89.385000000000005</v>
      </c>
      <c r="Z546">
        <f>YEAR(SalesData[[#This Row],[Order Date]])</f>
        <v>2024</v>
      </c>
      <c r="AA546" t="str">
        <f>TEXT(SalesData[[#This Row],[Order Date]],"mmm")</f>
        <v>Sep</v>
      </c>
      <c r="AB54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47" spans="1:28">
      <c r="A547">
        <v>257</v>
      </c>
      <c r="B547" t="s">
        <v>3067</v>
      </c>
      <c r="C547" s="1">
        <v>45560</v>
      </c>
      <c r="D547" s="1">
        <v>45561</v>
      </c>
      <c r="E547" t="s">
        <v>49</v>
      </c>
      <c r="F547" t="s">
        <v>3068</v>
      </c>
      <c r="G547" t="s">
        <v>3069</v>
      </c>
      <c r="H547" t="s">
        <v>39</v>
      </c>
      <c r="I547" t="s">
        <v>26</v>
      </c>
      <c r="J547" t="s">
        <v>641</v>
      </c>
      <c r="K547" t="s">
        <v>641</v>
      </c>
      <c r="L547">
        <v>48724</v>
      </c>
      <c r="M547" t="s">
        <v>62</v>
      </c>
      <c r="N547" t="s">
        <v>74</v>
      </c>
      <c r="O547" t="s">
        <v>30</v>
      </c>
      <c r="P547" t="s">
        <v>222</v>
      </c>
      <c r="Q547" t="s">
        <v>3070</v>
      </c>
      <c r="R547" t="s">
        <v>3071</v>
      </c>
      <c r="S547">
        <v>6</v>
      </c>
      <c r="T547" s="2">
        <v>0.05</v>
      </c>
      <c r="U547" t="s">
        <v>3072</v>
      </c>
      <c r="V547" t="str">
        <f>CHOOSE(MOD(SalesData[[#This Row],[Row ID]]-1,8)+1,"Aarav Sharma","Ananya Singh","Rohan Verma","Priya Gupta","Arjun Mehta","Neha Kapoor","Rahul Joshi","Sneha Patel")</f>
        <v>Aarav Sharma</v>
      </c>
      <c r="W54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47" s="8">
        <f>IFERROR(VALUE(SUBSTITUTE(SUBSTITUTE(SalesData[[#This Row],[Profit]],"$",""),",",""))/VALUE(SUBSTITUTE(SUBSTITUTE(SalesData[[#This Row],[Sales]],"$",""),",","")),0)</f>
        <v>0.10600137962750059</v>
      </c>
      <c r="Y547" s="6">
        <f>IFERROR(VALUE(SUBSTITUTE(SUBSTITUTE(SalesData[[#This Row],[Sales]],"$",""),",",""))/SalesData[[#This Row],[Quantity]],0)</f>
        <v>50.738333333333337</v>
      </c>
      <c r="Z547">
        <f>YEAR(SalesData[[#This Row],[Order Date]])</f>
        <v>2024</v>
      </c>
      <c r="AA547" t="str">
        <f>TEXT(SalesData[[#This Row],[Order Date]],"mmm")</f>
        <v>Sep</v>
      </c>
      <c r="AB54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48" spans="1:28">
      <c r="A548">
        <v>134</v>
      </c>
      <c r="B548" t="s">
        <v>3073</v>
      </c>
      <c r="C548" s="1">
        <v>45562</v>
      </c>
      <c r="D548" s="1">
        <v>45565</v>
      </c>
      <c r="E548" t="s">
        <v>36</v>
      </c>
      <c r="F548" t="s">
        <v>3074</v>
      </c>
      <c r="G548" t="s">
        <v>1625</v>
      </c>
      <c r="H548" t="s">
        <v>39</v>
      </c>
      <c r="I548" t="s">
        <v>26</v>
      </c>
      <c r="J548" t="s">
        <v>96</v>
      </c>
      <c r="K548" t="s">
        <v>96</v>
      </c>
      <c r="L548">
        <v>89025</v>
      </c>
      <c r="M548" t="s">
        <v>28</v>
      </c>
      <c r="N548" t="s">
        <v>246</v>
      </c>
      <c r="O548" t="s">
        <v>64</v>
      </c>
      <c r="P548" t="s">
        <v>405</v>
      </c>
      <c r="Q548" t="s">
        <v>1039</v>
      </c>
      <c r="R548" t="s">
        <v>3075</v>
      </c>
      <c r="S548">
        <v>1</v>
      </c>
      <c r="T548" s="2">
        <v>0.1</v>
      </c>
      <c r="U548" t="s">
        <v>3076</v>
      </c>
      <c r="V548" t="str">
        <f>CHOOSE(MOD(SalesData[[#This Row],[Row ID]]-1,8)+1,"Aarav Sharma","Ananya Singh","Rohan Verma","Priya Gupta","Arjun Mehta","Neha Kapoor","Rahul Joshi","Sneha Patel")</f>
        <v>Neha Kapoor</v>
      </c>
      <c r="W54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48" s="8">
        <f>IFERROR(VALUE(SUBSTITUTE(SUBSTITUTE(SalesData[[#This Row],[Profit]],"$",""),",",""))/VALUE(SUBSTITUTE(SUBSTITUTE(SalesData[[#This Row],[Sales]],"$",""),",","")),0)</f>
        <v>0.16665246655874583</v>
      </c>
      <c r="Y548" s="6">
        <f>IFERROR(VALUE(SUBSTITUTE(SUBSTITUTE(SalesData[[#This Row],[Sales]],"$",""),",",""))/SalesData[[#This Row],[Quantity]],0)</f>
        <v>234.74</v>
      </c>
      <c r="Z548">
        <f>YEAR(SalesData[[#This Row],[Order Date]])</f>
        <v>2024</v>
      </c>
      <c r="AA548" t="str">
        <f>TEXT(SalesData[[#This Row],[Order Date]],"mmm")</f>
        <v>Sep</v>
      </c>
      <c r="AB54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49" spans="1:28">
      <c r="A549">
        <v>20</v>
      </c>
      <c r="B549" t="s">
        <v>3077</v>
      </c>
      <c r="C549" s="1">
        <v>45565</v>
      </c>
      <c r="D549" s="1">
        <v>45571</v>
      </c>
      <c r="E549" t="s">
        <v>36</v>
      </c>
      <c r="F549" t="s">
        <v>3078</v>
      </c>
      <c r="G549" t="s">
        <v>1446</v>
      </c>
      <c r="H549" t="s">
        <v>25</v>
      </c>
      <c r="I549" t="s">
        <v>26</v>
      </c>
      <c r="J549" t="s">
        <v>260</v>
      </c>
      <c r="K549" t="s">
        <v>260</v>
      </c>
      <c r="L549">
        <v>42217</v>
      </c>
      <c r="M549" t="s">
        <v>41</v>
      </c>
      <c r="N549" t="s">
        <v>3079</v>
      </c>
      <c r="O549" t="s">
        <v>30</v>
      </c>
      <c r="P549" t="s">
        <v>31</v>
      </c>
      <c r="Q549" t="s">
        <v>3080</v>
      </c>
      <c r="R549" t="s">
        <v>3081</v>
      </c>
      <c r="S549">
        <v>4</v>
      </c>
      <c r="T549" s="2">
        <v>0</v>
      </c>
      <c r="U549" t="s">
        <v>3082</v>
      </c>
      <c r="V549" t="str">
        <f>CHOOSE(MOD(SalesData[[#This Row],[Row ID]]-1,8)+1,"Aarav Sharma","Ananya Singh","Rohan Verma","Priya Gupta","Arjun Mehta","Neha Kapoor","Rahul Joshi","Sneha Patel")</f>
        <v>Priya Gupta</v>
      </c>
      <c r="W54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49" s="8">
        <f>IFERROR(VALUE(SUBSTITUTE(SUBSTITUTE(SalesData[[#This Row],[Profit]],"$",""),",",""))/VALUE(SUBSTITUTE(SUBSTITUTE(SalesData[[#This Row],[Sales]],"$",""),",","")),0)</f>
        <v>0.14017794277667542</v>
      </c>
      <c r="Y549" s="6">
        <f>IFERROR(VALUE(SUBSTITUTE(SUBSTITUTE(SalesData[[#This Row],[Sales]],"$",""),",",""))/SalesData[[#This Row],[Quantity]],0)</f>
        <v>78.114999999999995</v>
      </c>
      <c r="Z549">
        <f>YEAR(SalesData[[#This Row],[Order Date]])</f>
        <v>2024</v>
      </c>
      <c r="AA549" t="str">
        <f>TEXT(SalesData[[#This Row],[Order Date]],"mmm")</f>
        <v>Sep</v>
      </c>
      <c r="AB54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50" spans="1:28">
      <c r="A550">
        <v>49</v>
      </c>
      <c r="B550" t="s">
        <v>3083</v>
      </c>
      <c r="C550" s="1">
        <v>45568</v>
      </c>
      <c r="D550" s="1">
        <v>45571</v>
      </c>
      <c r="E550" t="s">
        <v>36</v>
      </c>
      <c r="F550" t="s">
        <v>3084</v>
      </c>
      <c r="G550" t="s">
        <v>1025</v>
      </c>
      <c r="H550" t="s">
        <v>39</v>
      </c>
      <c r="I550" t="s">
        <v>26</v>
      </c>
      <c r="J550" t="s">
        <v>157</v>
      </c>
      <c r="K550" t="s">
        <v>157</v>
      </c>
      <c r="L550">
        <v>76656</v>
      </c>
      <c r="M550" t="s">
        <v>62</v>
      </c>
      <c r="N550" t="s">
        <v>3085</v>
      </c>
      <c r="O550" t="s">
        <v>30</v>
      </c>
      <c r="P550" t="s">
        <v>120</v>
      </c>
      <c r="Q550" t="s">
        <v>1112</v>
      </c>
      <c r="R550" t="s">
        <v>3086</v>
      </c>
      <c r="S550">
        <v>2</v>
      </c>
      <c r="T550" s="2">
        <v>0</v>
      </c>
      <c r="U550" t="s">
        <v>3087</v>
      </c>
      <c r="V550" t="str">
        <f>CHOOSE(MOD(SalesData[[#This Row],[Row ID]]-1,8)+1,"Aarav Sharma","Ananya Singh","Rohan Verma","Priya Gupta","Arjun Mehta","Neha Kapoor","Rahul Joshi","Sneha Patel")</f>
        <v>Aarav Sharma</v>
      </c>
      <c r="W55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50" s="8">
        <f>IFERROR(VALUE(SUBSTITUTE(SUBSTITUTE(SalesData[[#This Row],[Profit]],"$",""),",",""))/VALUE(SUBSTITUTE(SUBSTITUTE(SalesData[[#This Row],[Sales]],"$",""),",","")),0)</f>
        <v>0.19793171621929895</v>
      </c>
      <c r="Y550" s="6">
        <f>IFERROR(VALUE(SUBSTITUTE(SUBSTITUTE(SalesData[[#This Row],[Sales]],"$",""),",",""))/SalesData[[#This Row],[Quantity]],0)</f>
        <v>131.51</v>
      </c>
      <c r="Z550">
        <f>YEAR(SalesData[[#This Row],[Order Date]])</f>
        <v>2024</v>
      </c>
      <c r="AA550" t="str">
        <f>TEXT(SalesData[[#This Row],[Order Date]],"mmm")</f>
        <v>Oct</v>
      </c>
      <c r="AB55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51" spans="1:28">
      <c r="A551">
        <v>205</v>
      </c>
      <c r="B551" t="s">
        <v>3088</v>
      </c>
      <c r="C551" s="1">
        <v>45569</v>
      </c>
      <c r="D551" s="1">
        <v>45572</v>
      </c>
      <c r="E551" t="s">
        <v>49</v>
      </c>
      <c r="F551" t="s">
        <v>944</v>
      </c>
      <c r="G551" t="s">
        <v>80</v>
      </c>
      <c r="H551" t="s">
        <v>39</v>
      </c>
      <c r="I551" t="s">
        <v>26</v>
      </c>
      <c r="J551" t="s">
        <v>301</v>
      </c>
      <c r="K551" t="s">
        <v>301</v>
      </c>
      <c r="L551">
        <v>67620</v>
      </c>
      <c r="M551" t="s">
        <v>73</v>
      </c>
      <c r="N551" t="s">
        <v>3089</v>
      </c>
      <c r="O551" t="s">
        <v>30</v>
      </c>
      <c r="P551" t="s">
        <v>31</v>
      </c>
      <c r="Q551" t="s">
        <v>2568</v>
      </c>
      <c r="R551" t="s">
        <v>3090</v>
      </c>
      <c r="S551">
        <v>4</v>
      </c>
      <c r="T551" s="2">
        <v>0.1</v>
      </c>
      <c r="U551" t="s">
        <v>3091</v>
      </c>
      <c r="V551" t="str">
        <f>CHOOSE(MOD(SalesData[[#This Row],[Row ID]]-1,8)+1,"Aarav Sharma","Ananya Singh","Rohan Verma","Priya Gupta","Arjun Mehta","Neha Kapoor","Rahul Joshi","Sneha Patel")</f>
        <v>Arjun Mehta</v>
      </c>
      <c r="W55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51" s="8">
        <f>IFERROR(VALUE(SUBSTITUTE(SUBSTITUTE(SalesData[[#This Row],[Profit]],"$",""),",",""))/VALUE(SUBSTITUTE(SUBSTITUTE(SalesData[[#This Row],[Sales]],"$",""),",","")),0)</f>
        <v>6.1166429587482217E-2</v>
      </c>
      <c r="Y551" s="6">
        <f>IFERROR(VALUE(SUBSTITUTE(SUBSTITUTE(SalesData[[#This Row],[Sales]],"$",""),",",""))/SalesData[[#This Row],[Quantity]],0)</f>
        <v>15.817500000000001</v>
      </c>
      <c r="Z551">
        <f>YEAR(SalesData[[#This Row],[Order Date]])</f>
        <v>2024</v>
      </c>
      <c r="AA551" t="str">
        <f>TEXT(SalesData[[#This Row],[Order Date]],"mmm")</f>
        <v>Oct</v>
      </c>
      <c r="AB55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52" spans="1:28">
      <c r="A552">
        <v>26</v>
      </c>
      <c r="B552" t="s">
        <v>3092</v>
      </c>
      <c r="C552" s="1">
        <v>45570</v>
      </c>
      <c r="D552" s="1">
        <v>45574</v>
      </c>
      <c r="E552" t="s">
        <v>36</v>
      </c>
      <c r="F552" t="s">
        <v>3093</v>
      </c>
      <c r="G552" t="s">
        <v>594</v>
      </c>
      <c r="H552" t="s">
        <v>60</v>
      </c>
      <c r="I552" t="s">
        <v>26</v>
      </c>
      <c r="J552" t="s">
        <v>212</v>
      </c>
      <c r="K552" t="s">
        <v>212</v>
      </c>
      <c r="L552">
        <v>76234</v>
      </c>
      <c r="M552" t="s">
        <v>28</v>
      </c>
      <c r="N552" t="s">
        <v>3094</v>
      </c>
      <c r="O552" t="s">
        <v>64</v>
      </c>
      <c r="P552" t="s">
        <v>105</v>
      </c>
      <c r="Q552" t="s">
        <v>3095</v>
      </c>
      <c r="R552" t="s">
        <v>3096</v>
      </c>
      <c r="S552">
        <v>3</v>
      </c>
      <c r="T552" s="2">
        <v>0</v>
      </c>
      <c r="U552" t="s">
        <v>3097</v>
      </c>
      <c r="V552" t="str">
        <f>CHOOSE(MOD(SalesData[[#This Row],[Row ID]]-1,8)+1,"Aarav Sharma","Ananya Singh","Rohan Verma","Priya Gupta","Arjun Mehta","Neha Kapoor","Rahul Joshi","Sneha Patel")</f>
        <v>Ananya Singh</v>
      </c>
      <c r="W55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52" s="8">
        <f>IFERROR(VALUE(SUBSTITUTE(SUBSTITUTE(SalesData[[#This Row],[Profit]],"$",""),",",""))/VALUE(SUBSTITUTE(SUBSTITUTE(SalesData[[#This Row],[Sales]],"$",""),",","")),0)</f>
        <v>0.26554137505146153</v>
      </c>
      <c r="Y552" s="6">
        <f>IFERROR(VALUE(SUBSTITUTE(SUBSTITUTE(SalesData[[#This Row],[Sales]],"$",""),",",""))/SalesData[[#This Row],[Quantity]],0)</f>
        <v>40.483333333333334</v>
      </c>
      <c r="Z552">
        <f>YEAR(SalesData[[#This Row],[Order Date]])</f>
        <v>2024</v>
      </c>
      <c r="AA552" t="str">
        <f>TEXT(SalesData[[#This Row],[Order Date]],"mmm")</f>
        <v>Oct</v>
      </c>
      <c r="AB55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53" spans="1:28">
      <c r="A553">
        <v>333</v>
      </c>
      <c r="B553" t="s">
        <v>3098</v>
      </c>
      <c r="C553" s="1">
        <v>45570</v>
      </c>
      <c r="D553" s="1">
        <v>45576</v>
      </c>
      <c r="E553" t="s">
        <v>49</v>
      </c>
      <c r="F553" t="s">
        <v>3099</v>
      </c>
      <c r="G553" t="s">
        <v>683</v>
      </c>
      <c r="H553" t="s">
        <v>25</v>
      </c>
      <c r="I553" t="s">
        <v>26</v>
      </c>
      <c r="J553" t="s">
        <v>27</v>
      </c>
      <c r="K553" t="s">
        <v>27</v>
      </c>
      <c r="L553">
        <v>36331</v>
      </c>
      <c r="M553" t="s">
        <v>28</v>
      </c>
      <c r="N553" t="s">
        <v>1837</v>
      </c>
      <c r="O553" t="s">
        <v>30</v>
      </c>
      <c r="P553" t="s">
        <v>222</v>
      </c>
      <c r="Q553" t="s">
        <v>3100</v>
      </c>
      <c r="R553" t="s">
        <v>3101</v>
      </c>
      <c r="S553">
        <v>7</v>
      </c>
      <c r="T553" s="2">
        <v>0</v>
      </c>
      <c r="U553" t="s">
        <v>3102</v>
      </c>
      <c r="V553" t="str">
        <f>CHOOSE(MOD(SalesData[[#This Row],[Row ID]]-1,8)+1,"Aarav Sharma","Ananya Singh","Rohan Verma","Priya Gupta","Arjun Mehta","Neha Kapoor","Rahul Joshi","Sneha Patel")</f>
        <v>Arjun Mehta</v>
      </c>
      <c r="W55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53" s="8">
        <f>IFERROR(VALUE(SUBSTITUTE(SUBSTITUTE(SalesData[[#This Row],[Profit]],"$",""),",",""))/VALUE(SUBSTITUTE(SUBSTITUTE(SalesData[[#This Row],[Sales]],"$",""),",","")),0)</f>
        <v>0.15234235308141614</v>
      </c>
      <c r="Y553" s="6">
        <f>IFERROR(VALUE(SUBSTITUTE(SUBSTITUTE(SalesData[[#This Row],[Sales]],"$",""),",",""))/SalesData[[#This Row],[Quantity]],0)</f>
        <v>23.96857142857143</v>
      </c>
      <c r="Z553">
        <f>YEAR(SalesData[[#This Row],[Order Date]])</f>
        <v>2024</v>
      </c>
      <c r="AA553" t="str">
        <f>TEXT(SalesData[[#This Row],[Order Date]],"mmm")</f>
        <v>Oct</v>
      </c>
      <c r="AB55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54" spans="1:28">
      <c r="A554">
        <v>276</v>
      </c>
      <c r="B554" t="s">
        <v>3103</v>
      </c>
      <c r="C554" s="1">
        <v>45570</v>
      </c>
      <c r="D554" s="1">
        <v>45572</v>
      </c>
      <c r="E554" t="s">
        <v>36</v>
      </c>
      <c r="F554" t="s">
        <v>3104</v>
      </c>
      <c r="G554" t="s">
        <v>700</v>
      </c>
      <c r="H554" t="s">
        <v>39</v>
      </c>
      <c r="I554" t="s">
        <v>26</v>
      </c>
      <c r="J554" t="s">
        <v>641</v>
      </c>
      <c r="K554" t="s">
        <v>641</v>
      </c>
      <c r="L554">
        <v>20310</v>
      </c>
      <c r="M554" t="s">
        <v>62</v>
      </c>
      <c r="N554" t="s">
        <v>2970</v>
      </c>
      <c r="O554" t="s">
        <v>30</v>
      </c>
      <c r="P554" t="s">
        <v>120</v>
      </c>
      <c r="Q554" t="s">
        <v>899</v>
      </c>
      <c r="R554" t="s">
        <v>3105</v>
      </c>
      <c r="S554">
        <v>4</v>
      </c>
      <c r="T554" s="2">
        <v>0.1</v>
      </c>
      <c r="U554" t="s">
        <v>3106</v>
      </c>
      <c r="V554" t="str">
        <f>CHOOSE(MOD(SalesData[[#This Row],[Row ID]]-1,8)+1,"Aarav Sharma","Ananya Singh","Rohan Verma","Priya Gupta","Arjun Mehta","Neha Kapoor","Rahul Joshi","Sneha Patel")</f>
        <v>Priya Gupta</v>
      </c>
      <c r="W55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54" s="8">
        <f>IFERROR(VALUE(SUBSTITUTE(SUBSTITUTE(SalesData[[#This Row],[Profit]],"$",""),",",""))/VALUE(SUBSTITUTE(SUBSTITUTE(SalesData[[#This Row],[Sales]],"$",""),",","")),0)</f>
        <v>0.12284730195177956</v>
      </c>
      <c r="Y554" s="6">
        <f>IFERROR(VALUE(SUBSTITUTE(SUBSTITUTE(SalesData[[#This Row],[Sales]],"$",""),",",""))/SalesData[[#This Row],[Quantity]],0)</f>
        <v>10.887499999999999</v>
      </c>
      <c r="Z554">
        <f>YEAR(SalesData[[#This Row],[Order Date]])</f>
        <v>2024</v>
      </c>
      <c r="AA554" t="str">
        <f>TEXT(SalesData[[#This Row],[Order Date]],"mmm")</f>
        <v>Oct</v>
      </c>
      <c r="AB55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55" spans="1:28">
      <c r="A555">
        <v>460</v>
      </c>
      <c r="B555" t="s">
        <v>3107</v>
      </c>
      <c r="C555" s="1">
        <v>45571</v>
      </c>
      <c r="D555" s="1">
        <v>45577</v>
      </c>
      <c r="E555" t="s">
        <v>36</v>
      </c>
      <c r="F555" t="s">
        <v>3108</v>
      </c>
      <c r="G555" t="s">
        <v>1087</v>
      </c>
      <c r="H555" t="s">
        <v>39</v>
      </c>
      <c r="I555" t="s">
        <v>26</v>
      </c>
      <c r="J555" t="s">
        <v>245</v>
      </c>
      <c r="K555" t="s">
        <v>245</v>
      </c>
      <c r="L555">
        <v>27157</v>
      </c>
      <c r="M555" t="s">
        <v>41</v>
      </c>
      <c r="N555" t="s">
        <v>2157</v>
      </c>
      <c r="O555" t="s">
        <v>64</v>
      </c>
      <c r="P555" t="s">
        <v>105</v>
      </c>
      <c r="Q555" t="s">
        <v>549</v>
      </c>
      <c r="R555" t="s">
        <v>3109</v>
      </c>
      <c r="S555">
        <v>7</v>
      </c>
      <c r="T555" s="2">
        <v>0.1</v>
      </c>
      <c r="U555" t="s">
        <v>3110</v>
      </c>
      <c r="V555" t="str">
        <f>CHOOSE(MOD(SalesData[[#This Row],[Row ID]]-1,8)+1,"Aarav Sharma","Ananya Singh","Rohan Verma","Priya Gupta","Arjun Mehta","Neha Kapoor","Rahul Joshi","Sneha Patel")</f>
        <v>Priya Gupta</v>
      </c>
      <c r="W55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55" s="8">
        <f>IFERROR(VALUE(SUBSTITUTE(SUBSTITUTE(SalesData[[#This Row],[Profit]],"$",""),",",""))/VALUE(SUBSTITUTE(SUBSTITUTE(SalesData[[#This Row],[Sales]],"$",""),",","")),0)</f>
        <v>0.23304477440807198</v>
      </c>
      <c r="Y555" s="6">
        <f>IFERROR(VALUE(SUBSTITUTE(SUBSTITUTE(SalesData[[#This Row],[Sales]],"$",""),",",""))/SalesData[[#This Row],[Quantity]],0)</f>
        <v>49.837142857142858</v>
      </c>
      <c r="Z555">
        <f>YEAR(SalesData[[#This Row],[Order Date]])</f>
        <v>2024</v>
      </c>
      <c r="AA555" t="str">
        <f>TEXT(SalesData[[#This Row],[Order Date]],"mmm")</f>
        <v>Oct</v>
      </c>
      <c r="AB55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56" spans="1:28">
      <c r="A556">
        <v>8</v>
      </c>
      <c r="B556" t="s">
        <v>3111</v>
      </c>
      <c r="C556" s="1">
        <v>45574</v>
      </c>
      <c r="D556" s="1">
        <v>45579</v>
      </c>
      <c r="E556" t="s">
        <v>36</v>
      </c>
      <c r="F556" t="s">
        <v>3112</v>
      </c>
      <c r="G556" t="s">
        <v>945</v>
      </c>
      <c r="H556" t="s">
        <v>60</v>
      </c>
      <c r="I556" t="s">
        <v>26</v>
      </c>
      <c r="J556" t="s">
        <v>204</v>
      </c>
      <c r="K556" t="s">
        <v>204</v>
      </c>
      <c r="L556">
        <v>65016</v>
      </c>
      <c r="M556" t="s">
        <v>28</v>
      </c>
      <c r="N556" t="s">
        <v>3113</v>
      </c>
      <c r="O556" t="s">
        <v>30</v>
      </c>
      <c r="P556" t="s">
        <v>120</v>
      </c>
      <c r="Q556" t="s">
        <v>3114</v>
      </c>
      <c r="R556" t="s">
        <v>3115</v>
      </c>
      <c r="S556">
        <v>1</v>
      </c>
      <c r="T556" s="2">
        <v>0.1</v>
      </c>
      <c r="U556" t="s">
        <v>3116</v>
      </c>
      <c r="V556" t="str">
        <f>CHOOSE(MOD(SalesData[[#This Row],[Row ID]]-1,8)+1,"Aarav Sharma","Ananya Singh","Rohan Verma","Priya Gupta","Arjun Mehta","Neha Kapoor","Rahul Joshi","Sneha Patel")</f>
        <v>Sneha Patel</v>
      </c>
      <c r="W55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56" s="8">
        <f>IFERROR(VALUE(SUBSTITUTE(SUBSTITUTE(SalesData[[#This Row],[Profit]],"$",""),",",""))/VALUE(SUBSTITUTE(SUBSTITUTE(SalesData[[#This Row],[Sales]],"$",""),",","")),0)</f>
        <v>6.8447412353923209E-2</v>
      </c>
      <c r="Y556" s="6">
        <f>IFERROR(VALUE(SUBSTITUTE(SUBSTITUTE(SalesData[[#This Row],[Sales]],"$",""),",",""))/SalesData[[#This Row],[Quantity]],0)</f>
        <v>107.82</v>
      </c>
      <c r="Z556">
        <f>YEAR(SalesData[[#This Row],[Order Date]])</f>
        <v>2024</v>
      </c>
      <c r="AA556" t="str">
        <f>TEXT(SalesData[[#This Row],[Order Date]],"mmm")</f>
        <v>Oct</v>
      </c>
      <c r="AB55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57" spans="1:28">
      <c r="A557">
        <v>132</v>
      </c>
      <c r="B557" t="s">
        <v>3117</v>
      </c>
      <c r="C557" s="1">
        <v>45576</v>
      </c>
      <c r="D557" s="1">
        <v>45579</v>
      </c>
      <c r="E557" t="s">
        <v>36</v>
      </c>
      <c r="F557" t="s">
        <v>3118</v>
      </c>
      <c r="G557" t="s">
        <v>211</v>
      </c>
      <c r="H557" t="s">
        <v>25</v>
      </c>
      <c r="I557" t="s">
        <v>26</v>
      </c>
      <c r="J557" t="s">
        <v>438</v>
      </c>
      <c r="K557" t="s">
        <v>438</v>
      </c>
      <c r="L557">
        <v>78673</v>
      </c>
      <c r="M557" t="s">
        <v>28</v>
      </c>
      <c r="N557" t="s">
        <v>3119</v>
      </c>
      <c r="O557" t="s">
        <v>30</v>
      </c>
      <c r="P557" t="s">
        <v>197</v>
      </c>
      <c r="Q557" t="s">
        <v>2896</v>
      </c>
      <c r="R557" t="s">
        <v>3120</v>
      </c>
      <c r="S557">
        <v>1</v>
      </c>
      <c r="T557" s="2">
        <v>0.15</v>
      </c>
      <c r="U557" t="s">
        <v>3121</v>
      </c>
      <c r="V557" t="str">
        <f>CHOOSE(MOD(SalesData[[#This Row],[Row ID]]-1,8)+1,"Aarav Sharma","Ananya Singh","Rohan Verma","Priya Gupta","Arjun Mehta","Neha Kapoor","Rahul Joshi","Sneha Patel")</f>
        <v>Priya Gupta</v>
      </c>
      <c r="W55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57" s="8">
        <f>IFERROR(VALUE(SUBSTITUTE(SUBSTITUTE(SalesData[[#This Row],[Profit]],"$",""),",",""))/VALUE(SUBSTITUTE(SUBSTITUTE(SalesData[[#This Row],[Sales]],"$",""),",","")),0)</f>
        <v>4.6311040339702764E-2</v>
      </c>
      <c r="Y557" s="6">
        <f>IFERROR(VALUE(SUBSTITUTE(SUBSTITUTE(SalesData[[#This Row],[Sales]],"$",""),",",""))/SalesData[[#This Row],[Quantity]],0)</f>
        <v>75.36</v>
      </c>
      <c r="Z557">
        <f>YEAR(SalesData[[#This Row],[Order Date]])</f>
        <v>2024</v>
      </c>
      <c r="AA557" t="str">
        <f>TEXT(SalesData[[#This Row],[Order Date]],"mmm")</f>
        <v>Oct</v>
      </c>
      <c r="AB55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58" spans="1:28">
      <c r="A558">
        <v>180</v>
      </c>
      <c r="B558" t="s">
        <v>3122</v>
      </c>
      <c r="C558" s="1">
        <v>45578</v>
      </c>
      <c r="D558" s="1">
        <v>45580</v>
      </c>
      <c r="E558" t="s">
        <v>36</v>
      </c>
      <c r="F558" t="s">
        <v>3123</v>
      </c>
      <c r="G558" t="s">
        <v>541</v>
      </c>
      <c r="H558" t="s">
        <v>25</v>
      </c>
      <c r="I558" t="s">
        <v>26</v>
      </c>
      <c r="J558" t="s">
        <v>229</v>
      </c>
      <c r="K558" t="s">
        <v>229</v>
      </c>
      <c r="L558">
        <v>24122</v>
      </c>
      <c r="M558" t="s">
        <v>73</v>
      </c>
      <c r="N558" t="s">
        <v>776</v>
      </c>
      <c r="O558" t="s">
        <v>43</v>
      </c>
      <c r="P558" t="s">
        <v>166</v>
      </c>
      <c r="Q558" t="s">
        <v>167</v>
      </c>
      <c r="R558" t="s">
        <v>3124</v>
      </c>
      <c r="S558">
        <v>4</v>
      </c>
      <c r="T558" s="2">
        <v>0.3</v>
      </c>
      <c r="U558" t="s">
        <v>3125</v>
      </c>
      <c r="V558" t="str">
        <f>CHOOSE(MOD(SalesData[[#This Row],[Row ID]]-1,8)+1,"Aarav Sharma","Ananya Singh","Rohan Verma","Priya Gupta","Arjun Mehta","Neha Kapoor","Rahul Joshi","Sneha Patel")</f>
        <v>Priya Gupta</v>
      </c>
      <c r="W55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58" s="8">
        <f>IFERROR(VALUE(SUBSTITUTE(SUBSTITUTE(SalesData[[#This Row],[Profit]],"$",""),",",""))/VALUE(SUBSTITUTE(SUBSTITUTE(SalesData[[#This Row],[Sales]],"$",""),",","")),0)</f>
        <v>-1.6966320587490504E-2</v>
      </c>
      <c r="Y558" s="6">
        <f>IFERROR(VALUE(SUBSTITUTE(SUBSTITUTE(SalesData[[#This Row],[Sales]],"$",""),",",""))/SalesData[[#This Row],[Quantity]],0)</f>
        <v>19.745000000000001</v>
      </c>
      <c r="Z558">
        <f>YEAR(SalesData[[#This Row],[Order Date]])</f>
        <v>2024</v>
      </c>
      <c r="AA558" t="str">
        <f>TEXT(SalesData[[#This Row],[Order Date]],"mmm")</f>
        <v>Oct</v>
      </c>
      <c r="AB55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59" spans="1:28">
      <c r="A559">
        <v>561</v>
      </c>
      <c r="B559" t="s">
        <v>3126</v>
      </c>
      <c r="C559" s="1">
        <v>45579</v>
      </c>
      <c r="D559" s="1">
        <v>45581</v>
      </c>
      <c r="E559" t="s">
        <v>36</v>
      </c>
      <c r="F559" t="s">
        <v>3127</v>
      </c>
      <c r="G559" t="s">
        <v>80</v>
      </c>
      <c r="H559" t="s">
        <v>25</v>
      </c>
      <c r="I559" t="s">
        <v>26</v>
      </c>
      <c r="J559" t="s">
        <v>173</v>
      </c>
      <c r="K559" t="s">
        <v>173</v>
      </c>
      <c r="L559">
        <v>98365</v>
      </c>
      <c r="M559" t="s">
        <v>73</v>
      </c>
      <c r="N559" t="s">
        <v>3128</v>
      </c>
      <c r="O559" t="s">
        <v>30</v>
      </c>
      <c r="P559" t="s">
        <v>197</v>
      </c>
      <c r="Q559" t="s">
        <v>198</v>
      </c>
      <c r="R559" t="s">
        <v>3129</v>
      </c>
      <c r="S559">
        <v>5</v>
      </c>
      <c r="T559" s="2">
        <v>0.2</v>
      </c>
      <c r="U559" t="s">
        <v>3130</v>
      </c>
      <c r="V559" t="str">
        <f>CHOOSE(MOD(SalesData[[#This Row],[Row ID]]-1,8)+1,"Aarav Sharma","Ananya Singh","Rohan Verma","Priya Gupta","Arjun Mehta","Neha Kapoor","Rahul Joshi","Sneha Patel")</f>
        <v>Aarav Sharma</v>
      </c>
      <c r="W55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59" s="8">
        <f>IFERROR(VALUE(SUBSTITUTE(SUBSTITUTE(SalesData[[#This Row],[Profit]],"$",""),",",""))/VALUE(SUBSTITUTE(SUBSTITUTE(SalesData[[#This Row],[Sales]],"$",""),",","")),0)</f>
        <v>4.4427710843373491E-2</v>
      </c>
      <c r="Y559" s="6">
        <f>IFERROR(VALUE(SUBSTITUTE(SUBSTITUTE(SalesData[[#This Row],[Sales]],"$",""),",",""))/SalesData[[#This Row],[Quantity]],0)</f>
        <v>29.216000000000001</v>
      </c>
      <c r="Z559">
        <f>YEAR(SalesData[[#This Row],[Order Date]])</f>
        <v>2024</v>
      </c>
      <c r="AA559" t="str">
        <f>TEXT(SalesData[[#This Row],[Order Date]],"mmm")</f>
        <v>Oct</v>
      </c>
      <c r="AB55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60" spans="1:28">
      <c r="A560">
        <v>393</v>
      </c>
      <c r="B560" t="s">
        <v>3131</v>
      </c>
      <c r="C560" s="1">
        <v>45579</v>
      </c>
      <c r="D560" s="1">
        <v>45581</v>
      </c>
      <c r="E560" t="s">
        <v>36</v>
      </c>
      <c r="F560" t="s">
        <v>3132</v>
      </c>
      <c r="G560" t="s">
        <v>1265</v>
      </c>
      <c r="H560" t="s">
        <v>39</v>
      </c>
      <c r="I560" t="s">
        <v>26</v>
      </c>
      <c r="J560" t="s">
        <v>61</v>
      </c>
      <c r="K560" t="s">
        <v>61</v>
      </c>
      <c r="L560">
        <v>58037</v>
      </c>
      <c r="M560" t="s">
        <v>62</v>
      </c>
      <c r="N560" t="s">
        <v>3113</v>
      </c>
      <c r="O560" t="s">
        <v>43</v>
      </c>
      <c r="P560" t="s">
        <v>214</v>
      </c>
      <c r="Q560" t="s">
        <v>2847</v>
      </c>
      <c r="R560" t="s">
        <v>3133</v>
      </c>
      <c r="S560">
        <v>6</v>
      </c>
      <c r="T560" s="2">
        <v>0.15</v>
      </c>
      <c r="U560" t="s">
        <v>3134</v>
      </c>
      <c r="V560" t="str">
        <f>CHOOSE(MOD(SalesData[[#This Row],[Row ID]]-1,8)+1,"Aarav Sharma","Ananya Singh","Rohan Verma","Priya Gupta","Arjun Mehta","Neha Kapoor","Rahul Joshi","Sneha Patel")</f>
        <v>Aarav Sharma</v>
      </c>
      <c r="W56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60" s="8">
        <f>IFERROR(VALUE(SUBSTITUTE(SUBSTITUTE(SalesData[[#This Row],[Profit]],"$",""),",",""))/VALUE(SUBSTITUTE(SUBSTITUTE(SalesData[[#This Row],[Sales]],"$",""),",","")),0)</f>
        <v>8.9295248264815802E-2</v>
      </c>
      <c r="Y560" s="6">
        <f>IFERROR(VALUE(SUBSTITUTE(SUBSTITUTE(SalesData[[#This Row],[Sales]],"$",""),",",""))/SalesData[[#This Row],[Quantity]],0)</f>
        <v>12.486666666666666</v>
      </c>
      <c r="Z560">
        <f>YEAR(SalesData[[#This Row],[Order Date]])</f>
        <v>2024</v>
      </c>
      <c r="AA560" t="str">
        <f>TEXT(SalesData[[#This Row],[Order Date]],"mmm")</f>
        <v>Oct</v>
      </c>
      <c r="AB56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61" spans="1:28">
      <c r="A561">
        <v>197</v>
      </c>
      <c r="B561" t="s">
        <v>3135</v>
      </c>
      <c r="C561" s="1">
        <v>45580</v>
      </c>
      <c r="D561" s="1">
        <v>45583</v>
      </c>
      <c r="E561" t="s">
        <v>49</v>
      </c>
      <c r="F561" t="s">
        <v>3136</v>
      </c>
      <c r="G561" t="s">
        <v>1276</v>
      </c>
      <c r="H561" t="s">
        <v>25</v>
      </c>
      <c r="I561" t="s">
        <v>26</v>
      </c>
      <c r="J561" t="s">
        <v>81</v>
      </c>
      <c r="K561" t="s">
        <v>81</v>
      </c>
      <c r="L561">
        <v>26193</v>
      </c>
      <c r="M561" t="s">
        <v>62</v>
      </c>
      <c r="N561" t="s">
        <v>2421</v>
      </c>
      <c r="O561" t="s">
        <v>43</v>
      </c>
      <c r="P561" t="s">
        <v>128</v>
      </c>
      <c r="Q561" t="s">
        <v>1078</v>
      </c>
      <c r="R561" t="s">
        <v>3137</v>
      </c>
      <c r="S561">
        <v>7</v>
      </c>
      <c r="T561" s="2">
        <v>0.05</v>
      </c>
      <c r="U561" t="s">
        <v>3138</v>
      </c>
      <c r="V561" t="str">
        <f>CHOOSE(MOD(SalesData[[#This Row],[Row ID]]-1,8)+1,"Aarav Sharma","Ananya Singh","Rohan Verma","Priya Gupta","Arjun Mehta","Neha Kapoor","Rahul Joshi","Sneha Patel")</f>
        <v>Arjun Mehta</v>
      </c>
      <c r="W56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61" s="8">
        <f>IFERROR(VALUE(SUBSTITUTE(SUBSTITUTE(SalesData[[#This Row],[Profit]],"$",""),",",""))/VALUE(SUBSTITUTE(SUBSTITUTE(SalesData[[#This Row],[Sales]],"$",""),",","")),0)</f>
        <v>0.2769822940723633</v>
      </c>
      <c r="Y561" s="6">
        <f>IFERROR(VALUE(SUBSTITUTE(SUBSTITUTE(SalesData[[#This Row],[Sales]],"$",""),",",""))/SalesData[[#This Row],[Quantity]],0)</f>
        <v>9.2785714285714285</v>
      </c>
      <c r="Z561">
        <f>YEAR(SalesData[[#This Row],[Order Date]])</f>
        <v>2024</v>
      </c>
      <c r="AA561" t="str">
        <f>TEXT(SalesData[[#This Row],[Order Date]],"mmm")</f>
        <v>Oct</v>
      </c>
      <c r="AB56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62" spans="1:28">
      <c r="A562">
        <v>38</v>
      </c>
      <c r="B562" t="s">
        <v>3139</v>
      </c>
      <c r="C562" s="1">
        <v>45581</v>
      </c>
      <c r="D562" s="1">
        <v>45583</v>
      </c>
      <c r="E562" t="s">
        <v>36</v>
      </c>
      <c r="F562" t="s">
        <v>3140</v>
      </c>
      <c r="G562" t="s">
        <v>187</v>
      </c>
      <c r="H562" t="s">
        <v>39</v>
      </c>
      <c r="I562" t="s">
        <v>26</v>
      </c>
      <c r="J562" t="s">
        <v>61</v>
      </c>
      <c r="K562" t="s">
        <v>61</v>
      </c>
      <c r="L562">
        <v>46586</v>
      </c>
      <c r="M562" t="s">
        <v>62</v>
      </c>
      <c r="N562" t="s">
        <v>3141</v>
      </c>
      <c r="O562" t="s">
        <v>64</v>
      </c>
      <c r="P562" t="s">
        <v>65</v>
      </c>
      <c r="Q562" t="s">
        <v>3142</v>
      </c>
      <c r="R562" t="s">
        <v>3143</v>
      </c>
      <c r="S562">
        <v>4</v>
      </c>
      <c r="T562" s="2">
        <v>0</v>
      </c>
      <c r="U562" t="s">
        <v>3144</v>
      </c>
      <c r="V562" t="str">
        <f>CHOOSE(MOD(SalesData[[#This Row],[Row ID]]-1,8)+1,"Aarav Sharma","Ananya Singh","Rohan Verma","Priya Gupta","Arjun Mehta","Neha Kapoor","Rahul Joshi","Sneha Patel")</f>
        <v>Neha Kapoor</v>
      </c>
      <c r="W56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62" s="8">
        <f>IFERROR(VALUE(SUBSTITUTE(SUBSTITUTE(SalesData[[#This Row],[Profit]],"$",""),",",""))/VALUE(SUBSTITUTE(SUBSTITUTE(SalesData[[#This Row],[Sales]],"$",""),",","")),0)</f>
        <v>0.29076616915422887</v>
      </c>
      <c r="Y562" s="6">
        <f>IFERROR(VALUE(SUBSTITUTE(SUBSTITUTE(SalesData[[#This Row],[Sales]],"$",""),",",""))/SalesData[[#This Row],[Quantity]],0)</f>
        <v>125.625</v>
      </c>
      <c r="Z562">
        <f>YEAR(SalesData[[#This Row],[Order Date]])</f>
        <v>2024</v>
      </c>
      <c r="AA562" t="str">
        <f>TEXT(SalesData[[#This Row],[Order Date]],"mmm")</f>
        <v>Oct</v>
      </c>
      <c r="AB56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63" spans="1:28">
      <c r="A563">
        <v>237</v>
      </c>
      <c r="B563" t="s">
        <v>3145</v>
      </c>
      <c r="C563" s="1">
        <v>45586</v>
      </c>
      <c r="D563" s="1">
        <v>45590</v>
      </c>
      <c r="E563" t="s">
        <v>36</v>
      </c>
      <c r="F563" t="s">
        <v>3146</v>
      </c>
      <c r="G563" t="s">
        <v>1123</v>
      </c>
      <c r="H563" t="s">
        <v>25</v>
      </c>
      <c r="I563" t="s">
        <v>26</v>
      </c>
      <c r="J563" t="s">
        <v>237</v>
      </c>
      <c r="K563" t="s">
        <v>237</v>
      </c>
      <c r="L563">
        <v>26061</v>
      </c>
      <c r="M563" t="s">
        <v>41</v>
      </c>
      <c r="N563" t="s">
        <v>845</v>
      </c>
      <c r="O563" t="s">
        <v>43</v>
      </c>
      <c r="P563" t="s">
        <v>214</v>
      </c>
      <c r="Q563" t="s">
        <v>3147</v>
      </c>
      <c r="R563" t="s">
        <v>3148</v>
      </c>
      <c r="S563">
        <v>1</v>
      </c>
      <c r="T563" s="2">
        <v>0.05</v>
      </c>
      <c r="U563" t="s">
        <v>3149</v>
      </c>
      <c r="V563" t="str">
        <f>CHOOSE(MOD(SalesData[[#This Row],[Row ID]]-1,8)+1,"Aarav Sharma","Ananya Singh","Rohan Verma","Priya Gupta","Arjun Mehta","Neha Kapoor","Rahul Joshi","Sneha Patel")</f>
        <v>Arjun Mehta</v>
      </c>
      <c r="W56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63" s="8">
        <f>IFERROR(VALUE(SUBSTITUTE(SUBSTITUTE(SalesData[[#This Row],[Profit]],"$",""),",",""))/VALUE(SUBSTITUTE(SUBSTITUTE(SalesData[[#This Row],[Sales]],"$",""),",","")),0)</f>
        <v>0.17753952389605668</v>
      </c>
      <c r="Y563" s="6">
        <f>IFERROR(VALUE(SUBSTITUTE(SUBSTITUTE(SalesData[[#This Row],[Sales]],"$",""),",",""))/SalesData[[#This Row],[Quantity]],0)</f>
        <v>55.03</v>
      </c>
      <c r="Z563">
        <f>YEAR(SalesData[[#This Row],[Order Date]])</f>
        <v>2024</v>
      </c>
      <c r="AA563" t="str">
        <f>TEXT(SalesData[[#This Row],[Order Date]],"mmm")</f>
        <v>Oct</v>
      </c>
      <c r="AB56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64" spans="1:28">
      <c r="A564">
        <v>4</v>
      </c>
      <c r="B564" t="s">
        <v>3150</v>
      </c>
      <c r="C564" s="1">
        <v>45587</v>
      </c>
      <c r="D564" s="1">
        <v>45590</v>
      </c>
      <c r="E564" t="s">
        <v>22</v>
      </c>
      <c r="F564" t="s">
        <v>3151</v>
      </c>
      <c r="G564" t="s">
        <v>1685</v>
      </c>
      <c r="H564" t="s">
        <v>25</v>
      </c>
      <c r="I564" t="s">
        <v>26</v>
      </c>
      <c r="J564" t="s">
        <v>641</v>
      </c>
      <c r="K564" t="s">
        <v>641</v>
      </c>
      <c r="L564">
        <v>99812</v>
      </c>
      <c r="M564" t="s">
        <v>62</v>
      </c>
      <c r="N564" t="s">
        <v>3152</v>
      </c>
      <c r="O564" t="s">
        <v>43</v>
      </c>
      <c r="P564" t="s">
        <v>189</v>
      </c>
      <c r="Q564" t="s">
        <v>1249</v>
      </c>
      <c r="R564" t="s">
        <v>3153</v>
      </c>
      <c r="S564">
        <v>7</v>
      </c>
      <c r="T564" s="2">
        <v>0.15</v>
      </c>
      <c r="U564" t="s">
        <v>3154</v>
      </c>
      <c r="V564" t="str">
        <f>CHOOSE(MOD(SalesData[[#This Row],[Row ID]]-1,8)+1,"Aarav Sharma","Ananya Singh","Rohan Verma","Priya Gupta","Arjun Mehta","Neha Kapoor","Rahul Joshi","Sneha Patel")</f>
        <v>Priya Gupta</v>
      </c>
      <c r="W56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64" s="8">
        <f>IFERROR(VALUE(SUBSTITUTE(SUBSTITUTE(SalesData[[#This Row],[Profit]],"$",""),",",""))/VALUE(SUBSTITUTE(SUBSTITUTE(SalesData[[#This Row],[Sales]],"$",""),",","")),0)</f>
        <v>0.13023610053313023</v>
      </c>
      <c r="Y564" s="6">
        <f>IFERROR(VALUE(SUBSTITUTE(SUBSTITUTE(SalesData[[#This Row],[Sales]],"$",""),",",""))/SalesData[[#This Row],[Quantity]],0)</f>
        <v>15.005714285714287</v>
      </c>
      <c r="Z564">
        <f>YEAR(SalesData[[#This Row],[Order Date]])</f>
        <v>2024</v>
      </c>
      <c r="AA564" t="str">
        <f>TEXT(SalesData[[#This Row],[Order Date]],"mmm")</f>
        <v>Oct</v>
      </c>
      <c r="AB56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65" spans="1:28">
      <c r="A565">
        <v>564</v>
      </c>
      <c r="B565" t="s">
        <v>3155</v>
      </c>
      <c r="C565" s="1">
        <v>45591</v>
      </c>
      <c r="D565" s="1">
        <v>45593</v>
      </c>
      <c r="E565" t="s">
        <v>36</v>
      </c>
      <c r="F565" t="s">
        <v>3156</v>
      </c>
      <c r="G565" t="s">
        <v>80</v>
      </c>
      <c r="H565" t="s">
        <v>39</v>
      </c>
      <c r="I565" t="s">
        <v>26</v>
      </c>
      <c r="J565" t="s">
        <v>81</v>
      </c>
      <c r="K565" t="s">
        <v>81</v>
      </c>
      <c r="L565">
        <v>11652</v>
      </c>
      <c r="M565" t="s">
        <v>62</v>
      </c>
      <c r="N565" t="s">
        <v>2431</v>
      </c>
      <c r="O565" t="s">
        <v>30</v>
      </c>
      <c r="P565" t="s">
        <v>197</v>
      </c>
      <c r="Q565" t="s">
        <v>789</v>
      </c>
      <c r="R565" t="s">
        <v>3157</v>
      </c>
      <c r="S565">
        <v>5</v>
      </c>
      <c r="T565" s="2">
        <v>0.15</v>
      </c>
      <c r="U565" t="s">
        <v>3158</v>
      </c>
      <c r="V565" t="str">
        <f>CHOOSE(MOD(SalesData[[#This Row],[Row ID]]-1,8)+1,"Aarav Sharma","Ananya Singh","Rohan Verma","Priya Gupta","Arjun Mehta","Neha Kapoor","Rahul Joshi","Sneha Patel")</f>
        <v>Priya Gupta</v>
      </c>
      <c r="W56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65" s="8">
        <f>IFERROR(VALUE(SUBSTITUTE(SUBSTITUTE(SalesData[[#This Row],[Profit]],"$",""),",",""))/VALUE(SUBSTITUTE(SUBSTITUTE(SalesData[[#This Row],[Sales]],"$",""),",","")),0)</f>
        <v>0.1070677324358435</v>
      </c>
      <c r="Y565" s="6">
        <f>IFERROR(VALUE(SUBSTITUTE(SUBSTITUTE(SalesData[[#This Row],[Sales]],"$",""),",",""))/SalesData[[#This Row],[Quantity]],0)</f>
        <v>19.015999999999998</v>
      </c>
      <c r="Z565">
        <f>YEAR(SalesData[[#This Row],[Order Date]])</f>
        <v>2024</v>
      </c>
      <c r="AA565" t="str">
        <f>TEXT(SalesData[[#This Row],[Order Date]],"mmm")</f>
        <v>Oct</v>
      </c>
      <c r="AB56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66" spans="1:28">
      <c r="A566">
        <v>403</v>
      </c>
      <c r="B566" t="s">
        <v>3159</v>
      </c>
      <c r="C566" s="1">
        <v>45592</v>
      </c>
      <c r="D566" s="1">
        <v>45596</v>
      </c>
      <c r="E566" t="s">
        <v>49</v>
      </c>
      <c r="F566" t="s">
        <v>3160</v>
      </c>
      <c r="G566" t="s">
        <v>1479</v>
      </c>
      <c r="H566" t="s">
        <v>25</v>
      </c>
      <c r="I566" t="s">
        <v>26</v>
      </c>
      <c r="J566" t="s">
        <v>204</v>
      </c>
      <c r="K566" t="s">
        <v>204</v>
      </c>
      <c r="L566">
        <v>84991</v>
      </c>
      <c r="M566" t="s">
        <v>28</v>
      </c>
      <c r="N566" t="s">
        <v>3161</v>
      </c>
      <c r="O566" t="s">
        <v>64</v>
      </c>
      <c r="P566" t="s">
        <v>405</v>
      </c>
      <c r="Q566" t="s">
        <v>3162</v>
      </c>
      <c r="R566" t="s">
        <v>3163</v>
      </c>
      <c r="S566">
        <v>6</v>
      </c>
      <c r="T566" s="2">
        <v>0.4</v>
      </c>
      <c r="U566" t="s">
        <v>3164</v>
      </c>
      <c r="V566" t="str">
        <f>CHOOSE(MOD(SalesData[[#This Row],[Row ID]]-1,8)+1,"Aarav Sharma","Ananya Singh","Rohan Verma","Priya Gupta","Arjun Mehta","Neha Kapoor","Rahul Joshi","Sneha Patel")</f>
        <v>Rohan Verma</v>
      </c>
      <c r="W56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566" s="8">
        <f>IFERROR(VALUE(SUBSTITUTE(SUBSTITUTE(SalesData[[#This Row],[Profit]],"$",""),",",""))/VALUE(SUBSTITUTE(SUBSTITUTE(SalesData[[#This Row],[Sales]],"$",""),",","")),0)</f>
        <v>-6.1676359174091665E-2</v>
      </c>
      <c r="Y566" s="6">
        <f>IFERROR(VALUE(SUBSTITUTE(SUBSTITUTE(SalesData[[#This Row],[Sales]],"$",""),",",""))/SalesData[[#This Row],[Quantity]],0)</f>
        <v>31.238333333333333</v>
      </c>
      <c r="Z566">
        <f>YEAR(SalesData[[#This Row],[Order Date]])</f>
        <v>2024</v>
      </c>
      <c r="AA566" t="str">
        <f>TEXT(SalesData[[#This Row],[Order Date]],"mmm")</f>
        <v>Oct</v>
      </c>
      <c r="AB56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67" spans="1:28">
      <c r="A567">
        <v>167</v>
      </c>
      <c r="B567" t="s">
        <v>3165</v>
      </c>
      <c r="C567" s="1">
        <v>45597</v>
      </c>
      <c r="D567" s="1">
        <v>45600</v>
      </c>
      <c r="E567" t="s">
        <v>36</v>
      </c>
      <c r="F567" t="s">
        <v>3166</v>
      </c>
      <c r="G567" t="s">
        <v>1025</v>
      </c>
      <c r="H567" t="s">
        <v>39</v>
      </c>
      <c r="I567" t="s">
        <v>26</v>
      </c>
      <c r="J567" t="s">
        <v>641</v>
      </c>
      <c r="K567" t="s">
        <v>641</v>
      </c>
      <c r="L567">
        <v>32736</v>
      </c>
      <c r="M567" t="s">
        <v>62</v>
      </c>
      <c r="N567" t="s">
        <v>3167</v>
      </c>
      <c r="O567" t="s">
        <v>64</v>
      </c>
      <c r="P567" t="s">
        <v>105</v>
      </c>
      <c r="Q567" t="s">
        <v>2951</v>
      </c>
      <c r="R567" t="s">
        <v>3168</v>
      </c>
      <c r="S567">
        <v>1</v>
      </c>
      <c r="T567" s="2">
        <v>0</v>
      </c>
      <c r="U567" t="s">
        <v>3169</v>
      </c>
      <c r="V567" t="str">
        <f>CHOOSE(MOD(SalesData[[#This Row],[Row ID]]-1,8)+1,"Aarav Sharma","Ananya Singh","Rohan Verma","Priya Gupta","Arjun Mehta","Neha Kapoor","Rahul Joshi","Sneha Patel")</f>
        <v>Rahul Joshi</v>
      </c>
      <c r="W56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567" s="8">
        <f>IFERROR(VALUE(SUBSTITUTE(SUBSTITUTE(SalesData[[#This Row],[Profit]],"$",""),",",""))/VALUE(SUBSTITUTE(SUBSTITUTE(SalesData[[#This Row],[Sales]],"$",""),",","")),0)</f>
        <v>0.25674987264391241</v>
      </c>
      <c r="Y567" s="6">
        <f>IFERROR(VALUE(SUBSTITUTE(SUBSTITUTE(SalesData[[#This Row],[Sales]],"$",""),",",""))/SalesData[[#This Row],[Quantity]],0)</f>
        <v>39.26</v>
      </c>
      <c r="Z567">
        <f>YEAR(SalesData[[#This Row],[Order Date]])</f>
        <v>2024</v>
      </c>
      <c r="AA567" t="str">
        <f>TEXT(SalesData[[#This Row],[Order Date]],"mmm")</f>
        <v>Nov</v>
      </c>
      <c r="AB56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68" spans="1:28">
      <c r="A568">
        <v>171</v>
      </c>
      <c r="B568" t="s">
        <v>3170</v>
      </c>
      <c r="C568" s="1">
        <v>45598</v>
      </c>
      <c r="D568" s="1">
        <v>45601</v>
      </c>
      <c r="E568" t="s">
        <v>49</v>
      </c>
      <c r="F568" t="s">
        <v>3171</v>
      </c>
      <c r="G568" t="s">
        <v>126</v>
      </c>
      <c r="H568" t="s">
        <v>25</v>
      </c>
      <c r="I568" t="s">
        <v>26</v>
      </c>
      <c r="J568" t="s">
        <v>72</v>
      </c>
      <c r="K568" t="s">
        <v>72</v>
      </c>
      <c r="L568">
        <v>28135</v>
      </c>
      <c r="M568" t="s">
        <v>73</v>
      </c>
      <c r="N568" t="s">
        <v>1556</v>
      </c>
      <c r="O568" t="s">
        <v>43</v>
      </c>
      <c r="P568" t="s">
        <v>128</v>
      </c>
      <c r="Q568" t="s">
        <v>3172</v>
      </c>
      <c r="R568" t="s">
        <v>778</v>
      </c>
      <c r="S568">
        <v>6</v>
      </c>
      <c r="T568" s="2">
        <v>0.05</v>
      </c>
      <c r="U568" t="s">
        <v>3173</v>
      </c>
      <c r="V568" t="str">
        <f>CHOOSE(MOD(SalesData[[#This Row],[Row ID]]-1,8)+1,"Aarav Sharma","Ananya Singh","Rohan Verma","Priya Gupta","Arjun Mehta","Neha Kapoor","Rahul Joshi","Sneha Patel")</f>
        <v>Rohan Verma</v>
      </c>
      <c r="W56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568" s="8">
        <f>IFERROR(VALUE(SUBSTITUTE(SUBSTITUTE(SalesData[[#This Row],[Profit]],"$",""),",",""))/VALUE(SUBSTITUTE(SUBSTITUTE(SalesData[[#This Row],[Sales]],"$",""),",","")),0)</f>
        <v>0.25094876660341559</v>
      </c>
      <c r="Y568" s="6">
        <f>IFERROR(VALUE(SUBSTITUTE(SUBSTITUTE(SalesData[[#This Row],[Sales]],"$",""),",",""))/SalesData[[#This Row],[Quantity]],0)</f>
        <v>3.5133333333333332</v>
      </c>
      <c r="Z568">
        <f>YEAR(SalesData[[#This Row],[Order Date]])</f>
        <v>2024</v>
      </c>
      <c r="AA568" t="str">
        <f>TEXT(SalesData[[#This Row],[Order Date]],"mmm")</f>
        <v>Nov</v>
      </c>
      <c r="AB56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69" spans="1:28">
      <c r="A569">
        <v>229</v>
      </c>
      <c r="B569" t="s">
        <v>3174</v>
      </c>
      <c r="C569" s="1">
        <v>45598</v>
      </c>
      <c r="D569" s="1">
        <v>45599</v>
      </c>
      <c r="E569" t="s">
        <v>36</v>
      </c>
      <c r="F569" t="s">
        <v>3175</v>
      </c>
      <c r="G569" t="s">
        <v>118</v>
      </c>
      <c r="H569" t="s">
        <v>25</v>
      </c>
      <c r="I569" t="s">
        <v>26</v>
      </c>
      <c r="J569" t="s">
        <v>229</v>
      </c>
      <c r="K569" t="s">
        <v>229</v>
      </c>
      <c r="L569">
        <v>32765</v>
      </c>
      <c r="M569" t="s">
        <v>73</v>
      </c>
      <c r="N569" t="s">
        <v>2994</v>
      </c>
      <c r="O569" t="s">
        <v>30</v>
      </c>
      <c r="P569" t="s">
        <v>120</v>
      </c>
      <c r="Q569" t="s">
        <v>576</v>
      </c>
      <c r="R569" t="s">
        <v>3176</v>
      </c>
      <c r="S569">
        <v>3</v>
      </c>
      <c r="T569" s="2">
        <v>0.15</v>
      </c>
      <c r="U569" t="s">
        <v>2595</v>
      </c>
      <c r="V569" t="str">
        <f>CHOOSE(MOD(SalesData[[#This Row],[Row ID]]-1,8)+1,"Aarav Sharma","Ananya Singh","Rohan Verma","Priya Gupta","Arjun Mehta","Neha Kapoor","Rahul Joshi","Sneha Patel")</f>
        <v>Arjun Mehta</v>
      </c>
      <c r="W56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69" s="8">
        <f>IFERROR(VALUE(SUBSTITUTE(SUBSTITUTE(SalesData[[#This Row],[Profit]],"$",""),",",""))/VALUE(SUBSTITUTE(SUBSTITUTE(SalesData[[#This Row],[Sales]],"$",""),",","")),0)</f>
        <v>5.6352075801022312E-2</v>
      </c>
      <c r="Y569" s="6">
        <f>IFERROR(VALUE(SUBSTITUTE(SUBSTITUTE(SalesData[[#This Row],[Sales]],"$",""),",",""))/SalesData[[#This Row],[Quantity]],0)</f>
        <v>26.736666666666665</v>
      </c>
      <c r="Z569">
        <f>YEAR(SalesData[[#This Row],[Order Date]])</f>
        <v>2024</v>
      </c>
      <c r="AA569" t="str">
        <f>TEXT(SalesData[[#This Row],[Order Date]],"mmm")</f>
        <v>Nov</v>
      </c>
      <c r="AB56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70" spans="1:28">
      <c r="A570">
        <v>546</v>
      </c>
      <c r="B570" t="s">
        <v>3177</v>
      </c>
      <c r="C570" s="1">
        <v>45600</v>
      </c>
      <c r="D570" s="1">
        <v>45603</v>
      </c>
      <c r="E570" t="s">
        <v>36</v>
      </c>
      <c r="F570" t="s">
        <v>3178</v>
      </c>
      <c r="G570" t="s">
        <v>1850</v>
      </c>
      <c r="H570" t="s">
        <v>39</v>
      </c>
      <c r="I570" t="s">
        <v>26</v>
      </c>
      <c r="J570" t="s">
        <v>245</v>
      </c>
      <c r="K570" t="s">
        <v>245</v>
      </c>
      <c r="L570">
        <v>16487</v>
      </c>
      <c r="M570" t="s">
        <v>41</v>
      </c>
      <c r="N570" t="s">
        <v>2690</v>
      </c>
      <c r="O570" t="s">
        <v>64</v>
      </c>
      <c r="P570" t="s">
        <v>405</v>
      </c>
      <c r="Q570" t="s">
        <v>3179</v>
      </c>
      <c r="R570" t="s">
        <v>3180</v>
      </c>
      <c r="S570">
        <v>5</v>
      </c>
      <c r="T570" s="2">
        <v>0.4</v>
      </c>
      <c r="U570" t="s">
        <v>3181</v>
      </c>
      <c r="V570" t="str">
        <f>CHOOSE(MOD(SalesData[[#This Row],[Row ID]]-1,8)+1,"Aarav Sharma","Ananya Singh","Rohan Verma","Priya Gupta","Arjun Mehta","Neha Kapoor","Rahul Joshi","Sneha Patel")</f>
        <v>Ananya Singh</v>
      </c>
      <c r="W57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70" s="8">
        <f>IFERROR(VALUE(SUBSTITUTE(SUBSTITUTE(SalesData[[#This Row],[Profit]],"$",""),",",""))/VALUE(SUBSTITUTE(SUBSTITUTE(SalesData[[#This Row],[Sales]],"$",""),",","")),0)</f>
        <v>-6.7046750285062712E-2</v>
      </c>
      <c r="Y570" s="6">
        <f>IFERROR(VALUE(SUBSTITUTE(SUBSTITUTE(SalesData[[#This Row],[Sales]],"$",""),",",""))/SalesData[[#This Row],[Quantity]],0)</f>
        <v>61.39</v>
      </c>
      <c r="Z570">
        <f>YEAR(SalesData[[#This Row],[Order Date]])</f>
        <v>2024</v>
      </c>
      <c r="AA570" t="str">
        <f>TEXT(SalesData[[#This Row],[Order Date]],"mmm")</f>
        <v>Nov</v>
      </c>
      <c r="AB57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71" spans="1:28">
      <c r="A571">
        <v>123</v>
      </c>
      <c r="B571" t="s">
        <v>3182</v>
      </c>
      <c r="C571" s="1">
        <v>45605</v>
      </c>
      <c r="D571" s="1">
        <v>45608</v>
      </c>
      <c r="E571" t="s">
        <v>382</v>
      </c>
      <c r="F571" t="s">
        <v>3183</v>
      </c>
      <c r="G571" t="s">
        <v>134</v>
      </c>
      <c r="H571" t="s">
        <v>60</v>
      </c>
      <c r="I571" t="s">
        <v>26</v>
      </c>
      <c r="J571" t="s">
        <v>40</v>
      </c>
      <c r="K571" t="s">
        <v>40</v>
      </c>
      <c r="L571">
        <v>12023</v>
      </c>
      <c r="M571" t="s">
        <v>41</v>
      </c>
      <c r="N571" t="s">
        <v>3184</v>
      </c>
      <c r="O571" t="s">
        <v>64</v>
      </c>
      <c r="P571" t="s">
        <v>136</v>
      </c>
      <c r="Q571" t="s">
        <v>137</v>
      </c>
      <c r="R571" t="s">
        <v>3185</v>
      </c>
      <c r="S571">
        <v>6</v>
      </c>
      <c r="T571" s="2">
        <v>0.2</v>
      </c>
      <c r="U571" t="s">
        <v>3186</v>
      </c>
      <c r="V571" t="str">
        <f>CHOOSE(MOD(SalesData[[#This Row],[Row ID]]-1,8)+1,"Aarav Sharma","Ananya Singh","Rohan Verma","Priya Gupta","Arjun Mehta","Neha Kapoor","Rahul Joshi","Sneha Patel")</f>
        <v>Rohan Verma</v>
      </c>
      <c r="W57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571" s="8">
        <f>IFERROR(VALUE(SUBSTITUTE(SUBSTITUTE(SalesData[[#This Row],[Profit]],"$",""),",",""))/VALUE(SUBSTITUTE(SUBSTITUTE(SalesData[[#This Row],[Sales]],"$",""),",","")),0)</f>
        <v>4.8731721368419273E-2</v>
      </c>
      <c r="Y571" s="6">
        <f>IFERROR(VALUE(SUBSTITUTE(SUBSTITUTE(SalesData[[#This Row],[Sales]],"$",""),",",""))/SalesData[[#This Row],[Quantity]],0)</f>
        <v>98.361666666666665</v>
      </c>
      <c r="Z571">
        <f>YEAR(SalesData[[#This Row],[Order Date]])</f>
        <v>2024</v>
      </c>
      <c r="AA571" t="str">
        <f>TEXT(SalesData[[#This Row],[Order Date]],"mmm")</f>
        <v>Nov</v>
      </c>
      <c r="AB57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72" spans="1:28">
      <c r="A572">
        <v>166</v>
      </c>
      <c r="B572" t="s">
        <v>3187</v>
      </c>
      <c r="C572" s="1">
        <v>45608</v>
      </c>
      <c r="D572" s="1">
        <v>45613</v>
      </c>
      <c r="E572" t="s">
        <v>49</v>
      </c>
      <c r="F572" t="s">
        <v>3188</v>
      </c>
      <c r="G572" t="s">
        <v>851</v>
      </c>
      <c r="H572" t="s">
        <v>25</v>
      </c>
      <c r="I572" t="s">
        <v>26</v>
      </c>
      <c r="J572" t="s">
        <v>81</v>
      </c>
      <c r="K572" t="s">
        <v>81</v>
      </c>
      <c r="L572">
        <v>81126</v>
      </c>
      <c r="M572" t="s">
        <v>62</v>
      </c>
      <c r="N572" t="s">
        <v>1556</v>
      </c>
      <c r="O572" t="s">
        <v>43</v>
      </c>
      <c r="P572" t="s">
        <v>189</v>
      </c>
      <c r="Q572" t="s">
        <v>1348</v>
      </c>
      <c r="R572" t="s">
        <v>3189</v>
      </c>
      <c r="S572">
        <v>4</v>
      </c>
      <c r="T572" s="2">
        <v>0.1</v>
      </c>
      <c r="U572" t="s">
        <v>3190</v>
      </c>
      <c r="V572" t="str">
        <f>CHOOSE(MOD(SalesData[[#This Row],[Row ID]]-1,8)+1,"Aarav Sharma","Ananya Singh","Rohan Verma","Priya Gupta","Arjun Mehta","Neha Kapoor","Rahul Joshi","Sneha Patel")</f>
        <v>Neha Kapoor</v>
      </c>
      <c r="W57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72" s="8">
        <f>IFERROR(VALUE(SUBSTITUTE(SUBSTITUTE(SalesData[[#This Row],[Profit]],"$",""),",",""))/VALUE(SUBSTITUTE(SUBSTITUTE(SalesData[[#This Row],[Sales]],"$",""),",","")),0)</f>
        <v>0.18354922279792746</v>
      </c>
      <c r="Y572" s="6">
        <f>IFERROR(VALUE(SUBSTITUTE(SUBSTITUTE(SalesData[[#This Row],[Sales]],"$",""),",",""))/SalesData[[#This Row],[Quantity]],0)</f>
        <v>19.3</v>
      </c>
      <c r="Z572">
        <f>YEAR(SalesData[[#This Row],[Order Date]])</f>
        <v>2024</v>
      </c>
      <c r="AA572" t="str">
        <f>TEXT(SalesData[[#This Row],[Order Date]],"mmm")</f>
        <v>Nov</v>
      </c>
      <c r="AB57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73" spans="1:28">
      <c r="A573">
        <v>589</v>
      </c>
      <c r="B573" t="s">
        <v>3191</v>
      </c>
      <c r="C573" s="1">
        <v>45609</v>
      </c>
      <c r="D573" s="1">
        <v>45610</v>
      </c>
      <c r="E573" t="s">
        <v>36</v>
      </c>
      <c r="F573" t="s">
        <v>383</v>
      </c>
      <c r="G573" t="s">
        <v>244</v>
      </c>
      <c r="H573" t="s">
        <v>25</v>
      </c>
      <c r="I573" t="s">
        <v>26</v>
      </c>
      <c r="J573" t="s">
        <v>260</v>
      </c>
      <c r="K573" t="s">
        <v>260</v>
      </c>
      <c r="L573">
        <v>55704</v>
      </c>
      <c r="M573" t="s">
        <v>41</v>
      </c>
      <c r="N573" t="s">
        <v>870</v>
      </c>
      <c r="O573" t="s">
        <v>43</v>
      </c>
      <c r="P573" t="s">
        <v>83</v>
      </c>
      <c r="Q573" t="s">
        <v>3192</v>
      </c>
      <c r="R573" t="s">
        <v>3193</v>
      </c>
      <c r="S573">
        <v>5</v>
      </c>
      <c r="T573" s="2">
        <v>0</v>
      </c>
      <c r="U573" t="s">
        <v>3194</v>
      </c>
      <c r="V573" t="str">
        <f>CHOOSE(MOD(SalesData[[#This Row],[Row ID]]-1,8)+1,"Aarav Sharma","Ananya Singh","Rohan Verma","Priya Gupta","Arjun Mehta","Neha Kapoor","Rahul Joshi","Sneha Patel")</f>
        <v>Arjun Mehta</v>
      </c>
      <c r="W57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73" s="8">
        <f>IFERROR(VALUE(SUBSTITUTE(SUBSTITUTE(SalesData[[#This Row],[Profit]],"$",""),",",""))/VALUE(SUBSTITUTE(SUBSTITUTE(SalesData[[#This Row],[Sales]],"$",""),",","")),0)</f>
        <v>0.11878133436174315</v>
      </c>
      <c r="Y573" s="6">
        <f>IFERROR(VALUE(SUBSTITUTE(SUBSTITUTE(SalesData[[#This Row],[Sales]],"$",""),",",""))/SalesData[[#This Row],[Quantity]],0)</f>
        <v>15.558000000000002</v>
      </c>
      <c r="Z573">
        <f>YEAR(SalesData[[#This Row],[Order Date]])</f>
        <v>2024</v>
      </c>
      <c r="AA573" t="str">
        <f>TEXT(SalesData[[#This Row],[Order Date]],"mmm")</f>
        <v>Nov</v>
      </c>
      <c r="AB57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74" spans="1:28">
      <c r="A574">
        <v>281</v>
      </c>
      <c r="B574" t="s">
        <v>3195</v>
      </c>
      <c r="C574" s="1">
        <v>45610</v>
      </c>
      <c r="D574" s="1">
        <v>45613</v>
      </c>
      <c r="E574" t="s">
        <v>36</v>
      </c>
      <c r="F574" t="s">
        <v>3196</v>
      </c>
      <c r="G574" t="s">
        <v>322</v>
      </c>
      <c r="H574" t="s">
        <v>25</v>
      </c>
      <c r="I574" t="s">
        <v>26</v>
      </c>
      <c r="J574" t="s">
        <v>72</v>
      </c>
      <c r="K574" t="s">
        <v>72</v>
      </c>
      <c r="L574">
        <v>87242</v>
      </c>
      <c r="M574" t="s">
        <v>73</v>
      </c>
      <c r="N574" t="s">
        <v>531</v>
      </c>
      <c r="O574" t="s">
        <v>43</v>
      </c>
      <c r="P574" t="s">
        <v>189</v>
      </c>
      <c r="Q574" t="s">
        <v>3197</v>
      </c>
      <c r="R574" t="s">
        <v>3198</v>
      </c>
      <c r="S574">
        <v>1</v>
      </c>
      <c r="T574" s="2">
        <v>0</v>
      </c>
      <c r="U574" t="s">
        <v>3199</v>
      </c>
      <c r="V574" t="str">
        <f>CHOOSE(MOD(SalesData[[#This Row],[Row ID]]-1,8)+1,"Aarav Sharma","Ananya Singh","Rohan Verma","Priya Gupta","Arjun Mehta","Neha Kapoor","Rahul Joshi","Sneha Patel")</f>
        <v>Aarav Sharma</v>
      </c>
      <c r="W57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74" s="8">
        <f>IFERROR(VALUE(SUBSTITUTE(SUBSTITUTE(SalesData[[#This Row],[Profit]],"$",""),",",""))/VALUE(SUBSTITUTE(SUBSTITUTE(SalesData[[#This Row],[Sales]],"$",""),",","")),0)</f>
        <v>0.26456049860305181</v>
      </c>
      <c r="Y574" s="6">
        <f>IFERROR(VALUE(SUBSTITUTE(SUBSTITUTE(SalesData[[#This Row],[Sales]],"$",""),",",""))/SalesData[[#This Row],[Quantity]],0)</f>
        <v>139.59</v>
      </c>
      <c r="Z574">
        <f>YEAR(SalesData[[#This Row],[Order Date]])</f>
        <v>2024</v>
      </c>
      <c r="AA574" t="str">
        <f>TEXT(SalesData[[#This Row],[Order Date]],"mmm")</f>
        <v>Nov</v>
      </c>
      <c r="AB57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75" spans="1:28">
      <c r="A575">
        <v>362</v>
      </c>
      <c r="B575" t="s">
        <v>3200</v>
      </c>
      <c r="C575" s="1">
        <v>45611</v>
      </c>
      <c r="D575" s="1">
        <v>45614</v>
      </c>
      <c r="E575" t="s">
        <v>36</v>
      </c>
      <c r="F575" t="s">
        <v>3201</v>
      </c>
      <c r="G575" t="s">
        <v>505</v>
      </c>
      <c r="H575" t="s">
        <v>25</v>
      </c>
      <c r="I575" t="s">
        <v>26</v>
      </c>
      <c r="J575" t="s">
        <v>363</v>
      </c>
      <c r="K575" t="s">
        <v>363</v>
      </c>
      <c r="L575">
        <v>21437</v>
      </c>
      <c r="M575" t="s">
        <v>62</v>
      </c>
      <c r="N575" t="s">
        <v>2366</v>
      </c>
      <c r="O575" t="s">
        <v>43</v>
      </c>
      <c r="P575" t="s">
        <v>214</v>
      </c>
      <c r="Q575" t="s">
        <v>3147</v>
      </c>
      <c r="R575" t="s">
        <v>1173</v>
      </c>
      <c r="S575">
        <v>7</v>
      </c>
      <c r="T575" s="2">
        <v>0.15</v>
      </c>
      <c r="U575" t="s">
        <v>3202</v>
      </c>
      <c r="V575" t="str">
        <f>CHOOSE(MOD(SalesData[[#This Row],[Row ID]]-1,8)+1,"Aarav Sharma","Ananya Singh","Rohan Verma","Priya Gupta","Arjun Mehta","Neha Kapoor","Rahul Joshi","Sneha Patel")</f>
        <v>Ananya Singh</v>
      </c>
      <c r="W57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75" s="8">
        <f>IFERROR(VALUE(SUBSTITUTE(SUBSTITUTE(SalesData[[#This Row],[Profit]],"$",""),",",""))/VALUE(SUBSTITUTE(SUBSTITUTE(SalesData[[#This Row],[Sales]],"$",""),",","")),0)</f>
        <v>0.14000000000000001</v>
      </c>
      <c r="Y575" s="6">
        <f>IFERROR(VALUE(SUBSTITUTE(SUBSTITUTE(SalesData[[#This Row],[Sales]],"$",""),",",""))/SalesData[[#This Row],[Quantity]],0)</f>
        <v>1.1428571428571428</v>
      </c>
      <c r="Z575">
        <f>YEAR(SalesData[[#This Row],[Order Date]])</f>
        <v>2024</v>
      </c>
      <c r="AA575" t="str">
        <f>TEXT(SalesData[[#This Row],[Order Date]],"mmm")</f>
        <v>Nov</v>
      </c>
      <c r="AB57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76" spans="1:28">
      <c r="A576">
        <v>581</v>
      </c>
      <c r="B576" t="s">
        <v>3203</v>
      </c>
      <c r="C576" s="1">
        <v>45611</v>
      </c>
      <c r="D576" s="1">
        <v>45614</v>
      </c>
      <c r="E576" t="s">
        <v>36</v>
      </c>
      <c r="F576" t="s">
        <v>3204</v>
      </c>
      <c r="G576" t="s">
        <v>505</v>
      </c>
      <c r="H576" t="s">
        <v>60</v>
      </c>
      <c r="I576" t="s">
        <v>26</v>
      </c>
      <c r="J576" t="s">
        <v>96</v>
      </c>
      <c r="K576" t="s">
        <v>96</v>
      </c>
      <c r="L576">
        <v>48294</v>
      </c>
      <c r="M576" t="s">
        <v>28</v>
      </c>
      <c r="N576" t="s">
        <v>2072</v>
      </c>
      <c r="O576" t="s">
        <v>64</v>
      </c>
      <c r="P576" t="s">
        <v>136</v>
      </c>
      <c r="Q576" t="s">
        <v>2619</v>
      </c>
      <c r="R576" t="s">
        <v>2870</v>
      </c>
      <c r="S576">
        <v>6</v>
      </c>
      <c r="T576" s="2">
        <v>0.5</v>
      </c>
      <c r="U576" t="s">
        <v>3205</v>
      </c>
      <c r="V576" t="str">
        <f>CHOOSE(MOD(SalesData[[#This Row],[Row ID]]-1,8)+1,"Aarav Sharma","Ananya Singh","Rohan Verma","Priya Gupta","Arjun Mehta","Neha Kapoor","Rahul Joshi","Sneha Patel")</f>
        <v>Arjun Mehta</v>
      </c>
      <c r="W57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76" s="8">
        <f>IFERROR(VALUE(SUBSTITUTE(SUBSTITUTE(SalesData[[#This Row],[Profit]],"$",""),",",""))/VALUE(SUBSTITUTE(SUBSTITUTE(SalesData[[#This Row],[Sales]],"$",""),",","")),0)</f>
        <v>-0.15220629305529698</v>
      </c>
      <c r="Y576" s="6">
        <f>IFERROR(VALUE(SUBSTITUTE(SUBSTITUTE(SalesData[[#This Row],[Sales]],"$",""),",",""))/SalesData[[#This Row],[Quantity]],0)</f>
        <v>17.903333333333332</v>
      </c>
      <c r="Z576">
        <f>YEAR(SalesData[[#This Row],[Order Date]])</f>
        <v>2024</v>
      </c>
      <c r="AA576" t="str">
        <f>TEXT(SalesData[[#This Row],[Order Date]],"mmm")</f>
        <v>Nov</v>
      </c>
      <c r="AB57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77" spans="1:28">
      <c r="A577">
        <v>587</v>
      </c>
      <c r="B577" t="s">
        <v>3206</v>
      </c>
      <c r="C577" s="1">
        <v>45612</v>
      </c>
      <c r="D577" s="1">
        <v>45615</v>
      </c>
      <c r="E577" t="s">
        <v>36</v>
      </c>
      <c r="F577" t="s">
        <v>3207</v>
      </c>
      <c r="G577" t="s">
        <v>1123</v>
      </c>
      <c r="H577" t="s">
        <v>60</v>
      </c>
      <c r="I577" t="s">
        <v>26</v>
      </c>
      <c r="J577" t="s">
        <v>96</v>
      </c>
      <c r="K577" t="s">
        <v>96</v>
      </c>
      <c r="L577">
        <v>82467</v>
      </c>
      <c r="M577" t="s">
        <v>28</v>
      </c>
      <c r="N577" t="s">
        <v>3208</v>
      </c>
      <c r="O577" t="s">
        <v>43</v>
      </c>
      <c r="P577" t="s">
        <v>128</v>
      </c>
      <c r="Q577" t="s">
        <v>3209</v>
      </c>
      <c r="R577" t="s">
        <v>3210</v>
      </c>
      <c r="S577">
        <v>6</v>
      </c>
      <c r="T577" s="2">
        <v>0.1</v>
      </c>
      <c r="U577" t="s">
        <v>3211</v>
      </c>
      <c r="V577" t="str">
        <f>CHOOSE(MOD(SalesData[[#This Row],[Row ID]]-1,8)+1,"Aarav Sharma","Ananya Singh","Rohan Verma","Priya Gupta","Arjun Mehta","Neha Kapoor","Rahul Joshi","Sneha Patel")</f>
        <v>Rohan Verma</v>
      </c>
      <c r="W57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577" s="8">
        <f>IFERROR(VALUE(SUBSTITUTE(SUBSTITUTE(SalesData[[#This Row],[Profit]],"$",""),",",""))/VALUE(SUBSTITUTE(SUBSTITUTE(SalesData[[#This Row],[Sales]],"$",""),",","")),0)</f>
        <v>0.18981943059709763</v>
      </c>
      <c r="Y577" s="6">
        <f>IFERROR(VALUE(SUBSTITUTE(SUBSTITUTE(SalesData[[#This Row],[Sales]],"$",""),",",""))/SalesData[[#This Row],[Quantity]],0)</f>
        <v>30.09</v>
      </c>
      <c r="Z577">
        <f>YEAR(SalesData[[#This Row],[Order Date]])</f>
        <v>2024</v>
      </c>
      <c r="AA577" t="str">
        <f>TEXT(SalesData[[#This Row],[Order Date]],"mmm")</f>
        <v>Nov</v>
      </c>
      <c r="AB57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78" spans="1:28">
      <c r="A578">
        <v>369</v>
      </c>
      <c r="B578" t="s">
        <v>3212</v>
      </c>
      <c r="C578" s="1">
        <v>45613</v>
      </c>
      <c r="D578" s="1">
        <v>45616</v>
      </c>
      <c r="E578" t="s">
        <v>36</v>
      </c>
      <c r="F578" t="s">
        <v>3213</v>
      </c>
      <c r="G578" t="s">
        <v>1850</v>
      </c>
      <c r="H578" t="s">
        <v>39</v>
      </c>
      <c r="I578" t="s">
        <v>26</v>
      </c>
      <c r="J578" t="s">
        <v>438</v>
      </c>
      <c r="K578" t="s">
        <v>438</v>
      </c>
      <c r="L578">
        <v>20931</v>
      </c>
      <c r="M578" t="s">
        <v>28</v>
      </c>
      <c r="N578" t="s">
        <v>2809</v>
      </c>
      <c r="O578" t="s">
        <v>30</v>
      </c>
      <c r="P578" t="s">
        <v>120</v>
      </c>
      <c r="Q578" t="s">
        <v>899</v>
      </c>
      <c r="R578" t="s">
        <v>3214</v>
      </c>
      <c r="S578">
        <v>3</v>
      </c>
      <c r="T578" s="2">
        <v>0.3</v>
      </c>
      <c r="U578" t="s">
        <v>3215</v>
      </c>
      <c r="V578" t="str">
        <f>CHOOSE(MOD(SalesData[[#This Row],[Row ID]]-1,8)+1,"Aarav Sharma","Ananya Singh","Rohan Verma","Priya Gupta","Arjun Mehta","Neha Kapoor","Rahul Joshi","Sneha Patel")</f>
        <v>Aarav Sharma</v>
      </c>
      <c r="W57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78" s="8">
        <f>IFERROR(VALUE(SUBSTITUTE(SUBSTITUTE(SalesData[[#This Row],[Profit]],"$",""),",",""))/VALUE(SUBSTITUTE(SUBSTITUTE(SalesData[[#This Row],[Sales]],"$",""),",","")),0)</f>
        <v>-0.12146938775510205</v>
      </c>
      <c r="Y578" s="6">
        <f>IFERROR(VALUE(SUBSTITUTE(SUBSTITUTE(SalesData[[#This Row],[Sales]],"$",""),",",""))/SalesData[[#This Row],[Quantity]],0)</f>
        <v>61.25</v>
      </c>
      <c r="Z578">
        <f>YEAR(SalesData[[#This Row],[Order Date]])</f>
        <v>2024</v>
      </c>
      <c r="AA578" t="str">
        <f>TEXT(SalesData[[#This Row],[Order Date]],"mmm")</f>
        <v>Nov</v>
      </c>
      <c r="AB57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79" spans="1:28">
      <c r="A579">
        <v>502</v>
      </c>
      <c r="B579" t="s">
        <v>3216</v>
      </c>
      <c r="C579" s="1">
        <v>45618</v>
      </c>
      <c r="D579" s="1">
        <v>45621</v>
      </c>
      <c r="E579" t="s">
        <v>22</v>
      </c>
      <c r="F579" t="s">
        <v>3217</v>
      </c>
      <c r="G579" t="s">
        <v>882</v>
      </c>
      <c r="H579" t="s">
        <v>25</v>
      </c>
      <c r="I579" t="s">
        <v>26</v>
      </c>
      <c r="J579" t="s">
        <v>52</v>
      </c>
      <c r="K579" t="s">
        <v>52</v>
      </c>
      <c r="L579">
        <v>28756</v>
      </c>
      <c r="M579" t="s">
        <v>41</v>
      </c>
      <c r="N579" t="s">
        <v>3218</v>
      </c>
      <c r="O579" t="s">
        <v>64</v>
      </c>
      <c r="P579" t="s">
        <v>65</v>
      </c>
      <c r="Q579" t="s">
        <v>275</v>
      </c>
      <c r="R579" t="s">
        <v>3219</v>
      </c>
      <c r="S579">
        <v>5</v>
      </c>
      <c r="T579" s="2">
        <v>0.5</v>
      </c>
      <c r="U579" t="s">
        <v>3220</v>
      </c>
      <c r="V579" t="str">
        <f>CHOOSE(MOD(SalesData[[#This Row],[Row ID]]-1,8)+1,"Aarav Sharma","Ananya Singh","Rohan Verma","Priya Gupta","Arjun Mehta","Neha Kapoor","Rahul Joshi","Sneha Patel")</f>
        <v>Neha Kapoor</v>
      </c>
      <c r="W57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79" s="8">
        <f>IFERROR(VALUE(SUBSTITUTE(SUBSTITUTE(SalesData[[#This Row],[Profit]],"$",""),",",""))/VALUE(SUBSTITUTE(SUBSTITUTE(SalesData[[#This Row],[Sales]],"$",""),",","")),0)</f>
        <v>-0.15917619338511213</v>
      </c>
      <c r="Y579" s="6">
        <f>IFERROR(VALUE(SUBSTITUTE(SUBSTITUTE(SalesData[[#This Row],[Sales]],"$",""),",",""))/SalesData[[#This Row],[Quantity]],0)</f>
        <v>22.917999999999999</v>
      </c>
      <c r="Z579">
        <f>YEAR(SalesData[[#This Row],[Order Date]])</f>
        <v>2024</v>
      </c>
      <c r="AA579" t="str">
        <f>TEXT(SalesData[[#This Row],[Order Date]],"mmm")</f>
        <v>Nov</v>
      </c>
      <c r="AB57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80" spans="1:28">
      <c r="A580">
        <v>566</v>
      </c>
      <c r="B580" t="s">
        <v>3221</v>
      </c>
      <c r="C580" s="1">
        <v>45619</v>
      </c>
      <c r="D580" s="1">
        <v>45621</v>
      </c>
      <c r="E580" t="s">
        <v>49</v>
      </c>
      <c r="F580" t="s">
        <v>3222</v>
      </c>
      <c r="G580" t="s">
        <v>397</v>
      </c>
      <c r="H580" t="s">
        <v>25</v>
      </c>
      <c r="I580" t="s">
        <v>26</v>
      </c>
      <c r="J580" t="s">
        <v>173</v>
      </c>
      <c r="K580" t="s">
        <v>173</v>
      </c>
      <c r="L580">
        <v>36325</v>
      </c>
      <c r="M580" t="s">
        <v>73</v>
      </c>
      <c r="N580" t="s">
        <v>795</v>
      </c>
      <c r="O580" t="s">
        <v>43</v>
      </c>
      <c r="P580" t="s">
        <v>166</v>
      </c>
      <c r="Q580" t="s">
        <v>167</v>
      </c>
      <c r="R580" t="s">
        <v>3223</v>
      </c>
      <c r="S580">
        <v>5</v>
      </c>
      <c r="T580" s="2">
        <v>0.3</v>
      </c>
      <c r="U580" t="s">
        <v>3224</v>
      </c>
      <c r="V580" t="str">
        <f>CHOOSE(MOD(SalesData[[#This Row],[Row ID]]-1,8)+1,"Aarav Sharma","Ananya Singh","Rohan Verma","Priya Gupta","Arjun Mehta","Neha Kapoor","Rahul Joshi","Sneha Patel")</f>
        <v>Neha Kapoor</v>
      </c>
      <c r="W58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80" s="8">
        <f>IFERROR(VALUE(SUBSTITUTE(SUBSTITUTE(SalesData[[#This Row],[Profit]],"$",""),",",""))/VALUE(SUBSTITUTE(SUBSTITUTE(SalesData[[#This Row],[Sales]],"$",""),",","")),0)</f>
        <v>1.277139208173691E-3</v>
      </c>
      <c r="Y580" s="6">
        <f>IFERROR(VALUE(SUBSTITUTE(SUBSTITUTE(SalesData[[#This Row],[Sales]],"$",""),",",""))/SalesData[[#This Row],[Quantity]],0)</f>
        <v>12.528</v>
      </c>
      <c r="Z580">
        <f>YEAR(SalesData[[#This Row],[Order Date]])</f>
        <v>2024</v>
      </c>
      <c r="AA580" t="str">
        <f>TEXT(SalesData[[#This Row],[Order Date]],"mmm")</f>
        <v>Nov</v>
      </c>
      <c r="AB58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81" spans="1:28">
      <c r="A581">
        <v>487</v>
      </c>
      <c r="B581" t="s">
        <v>3225</v>
      </c>
      <c r="C581" s="1">
        <v>45622</v>
      </c>
      <c r="D581" s="1">
        <v>45624</v>
      </c>
      <c r="E581" t="s">
        <v>22</v>
      </c>
      <c r="F581" t="s">
        <v>3226</v>
      </c>
      <c r="G581" t="s">
        <v>1850</v>
      </c>
      <c r="H581" t="s">
        <v>60</v>
      </c>
      <c r="I581" t="s">
        <v>26</v>
      </c>
      <c r="J581" t="s">
        <v>173</v>
      </c>
      <c r="K581" t="s">
        <v>173</v>
      </c>
      <c r="L581">
        <v>82154</v>
      </c>
      <c r="M581" t="s">
        <v>73</v>
      </c>
      <c r="N581" t="s">
        <v>3227</v>
      </c>
      <c r="O581" t="s">
        <v>30</v>
      </c>
      <c r="P581" t="s">
        <v>31</v>
      </c>
      <c r="Q581" t="s">
        <v>2013</v>
      </c>
      <c r="R581" t="s">
        <v>3228</v>
      </c>
      <c r="S581">
        <v>2</v>
      </c>
      <c r="T581" s="2">
        <v>0.1</v>
      </c>
      <c r="U581" t="s">
        <v>3229</v>
      </c>
      <c r="V581" t="str">
        <f>CHOOSE(MOD(SalesData[[#This Row],[Row ID]]-1,8)+1,"Aarav Sharma","Ananya Singh","Rohan Verma","Priya Gupta","Arjun Mehta","Neha Kapoor","Rahul Joshi","Sneha Patel")</f>
        <v>Rahul Joshi</v>
      </c>
      <c r="W58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581" s="8">
        <f>IFERROR(VALUE(SUBSTITUTE(SUBSTITUTE(SalesData[[#This Row],[Profit]],"$",""),",",""))/VALUE(SUBSTITUTE(SUBSTITUTE(SalesData[[#This Row],[Sales]],"$",""),",","")),0)</f>
        <v>1.3085568955615719E-2</v>
      </c>
      <c r="Y581" s="6">
        <f>IFERROR(VALUE(SUBSTITUTE(SUBSTITUTE(SalesData[[#This Row],[Sales]],"$",""),",",""))/SalesData[[#This Row],[Quantity]],0)</f>
        <v>121.89</v>
      </c>
      <c r="Z581">
        <f>YEAR(SalesData[[#This Row],[Order Date]])</f>
        <v>2024</v>
      </c>
      <c r="AA581" t="str">
        <f>TEXT(SalesData[[#This Row],[Order Date]],"mmm")</f>
        <v>Nov</v>
      </c>
      <c r="AB58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82" spans="1:28">
      <c r="A582">
        <v>28</v>
      </c>
      <c r="B582" t="s">
        <v>3230</v>
      </c>
      <c r="C582" s="1">
        <v>45624</v>
      </c>
      <c r="D582" s="1">
        <v>45626</v>
      </c>
      <c r="E582" t="s">
        <v>36</v>
      </c>
      <c r="F582" t="s">
        <v>3231</v>
      </c>
      <c r="G582" t="s">
        <v>719</v>
      </c>
      <c r="H582" t="s">
        <v>39</v>
      </c>
      <c r="I582" t="s">
        <v>26</v>
      </c>
      <c r="J582" t="s">
        <v>363</v>
      </c>
      <c r="K582" t="s">
        <v>363</v>
      </c>
      <c r="L582">
        <v>31677</v>
      </c>
      <c r="M582" t="s">
        <v>62</v>
      </c>
      <c r="N582" t="s">
        <v>1923</v>
      </c>
      <c r="O582" t="s">
        <v>64</v>
      </c>
      <c r="P582" t="s">
        <v>136</v>
      </c>
      <c r="Q582" t="s">
        <v>3232</v>
      </c>
      <c r="R582" t="s">
        <v>3233</v>
      </c>
      <c r="S582">
        <v>2</v>
      </c>
      <c r="T582" s="2">
        <v>0.5</v>
      </c>
      <c r="U582" t="s">
        <v>3234</v>
      </c>
      <c r="V582" t="str">
        <f>CHOOSE(MOD(SalesData[[#This Row],[Row ID]]-1,8)+1,"Aarav Sharma","Ananya Singh","Rohan Verma","Priya Gupta","Arjun Mehta","Neha Kapoor","Rahul Joshi","Sneha Patel")</f>
        <v>Priya Gupta</v>
      </c>
      <c r="W58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82" s="8">
        <f>IFERROR(VALUE(SUBSTITUTE(SUBSTITUTE(SalesData[[#This Row],[Profit]],"$",""),",",""))/VALUE(SUBSTITUTE(SUBSTITUTE(SalesData[[#This Row],[Sales]],"$",""),",","")),0)</f>
        <v>-4.9986514429560362E-2</v>
      </c>
      <c r="Y582" s="6">
        <f>IFERROR(VALUE(SUBSTITUTE(SUBSTITUTE(SalesData[[#This Row],[Sales]],"$",""),",",""))/SalesData[[#This Row],[Quantity]],0)</f>
        <v>55.615000000000002</v>
      </c>
      <c r="Z582">
        <f>YEAR(SalesData[[#This Row],[Order Date]])</f>
        <v>2024</v>
      </c>
      <c r="AA582" t="str">
        <f>TEXT(SalesData[[#This Row],[Order Date]],"mmm")</f>
        <v>Nov</v>
      </c>
      <c r="AB58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83" spans="1:28">
      <c r="A583">
        <v>69</v>
      </c>
      <c r="B583" t="s">
        <v>3235</v>
      </c>
      <c r="C583" s="1">
        <v>45624</v>
      </c>
      <c r="D583" s="1">
        <v>45625</v>
      </c>
      <c r="E583" t="s">
        <v>36</v>
      </c>
      <c r="F583" t="s">
        <v>3236</v>
      </c>
      <c r="G583" t="s">
        <v>561</v>
      </c>
      <c r="H583" t="s">
        <v>25</v>
      </c>
      <c r="I583" t="s">
        <v>26</v>
      </c>
      <c r="J583" t="s">
        <v>301</v>
      </c>
      <c r="K583" t="s">
        <v>301</v>
      </c>
      <c r="L583">
        <v>42413</v>
      </c>
      <c r="M583" t="s">
        <v>73</v>
      </c>
      <c r="N583" t="s">
        <v>977</v>
      </c>
      <c r="O583" t="s">
        <v>64</v>
      </c>
      <c r="P583" t="s">
        <v>65</v>
      </c>
      <c r="Q583" t="s">
        <v>1811</v>
      </c>
      <c r="R583" t="s">
        <v>3237</v>
      </c>
      <c r="S583">
        <v>6</v>
      </c>
      <c r="T583" s="2">
        <v>0</v>
      </c>
      <c r="U583" t="s">
        <v>3238</v>
      </c>
      <c r="V583" t="str">
        <f>CHOOSE(MOD(SalesData[[#This Row],[Row ID]]-1,8)+1,"Aarav Sharma","Ananya Singh","Rohan Verma","Priya Gupta","Arjun Mehta","Neha Kapoor","Rahul Joshi","Sneha Patel")</f>
        <v>Arjun Mehta</v>
      </c>
      <c r="W58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83" s="8">
        <f>IFERROR(VALUE(SUBSTITUTE(SUBSTITUTE(SalesData[[#This Row],[Profit]],"$",""),",",""))/VALUE(SUBSTITUTE(SUBSTITUTE(SalesData[[#This Row],[Sales]],"$",""),",","")),0)</f>
        <v>0.21589028139039965</v>
      </c>
      <c r="Y583" s="6">
        <f>IFERROR(VALUE(SUBSTITUTE(SUBSTITUTE(SalesData[[#This Row],[Sales]],"$",""),",",""))/SalesData[[#This Row],[Quantity]],0)</f>
        <v>7.0483333333333329</v>
      </c>
      <c r="Z583">
        <f>YEAR(SalesData[[#This Row],[Order Date]])</f>
        <v>2024</v>
      </c>
      <c r="AA583" t="str">
        <f>TEXT(SalesData[[#This Row],[Order Date]],"mmm")</f>
        <v>Nov</v>
      </c>
      <c r="AB58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84" spans="1:28">
      <c r="A584">
        <v>278</v>
      </c>
      <c r="B584" t="s">
        <v>3239</v>
      </c>
      <c r="C584" s="1">
        <v>45624</v>
      </c>
      <c r="D584" s="1">
        <v>45627</v>
      </c>
      <c r="E584" t="s">
        <v>22</v>
      </c>
      <c r="F584" t="s">
        <v>3240</v>
      </c>
      <c r="G584" t="s">
        <v>1446</v>
      </c>
      <c r="H584" t="s">
        <v>39</v>
      </c>
      <c r="I584" t="s">
        <v>26</v>
      </c>
      <c r="J584" t="s">
        <v>641</v>
      </c>
      <c r="K584" t="s">
        <v>641</v>
      </c>
      <c r="L584">
        <v>16533</v>
      </c>
      <c r="M584" t="s">
        <v>62</v>
      </c>
      <c r="N584" t="s">
        <v>971</v>
      </c>
      <c r="O584" t="s">
        <v>30</v>
      </c>
      <c r="P584" t="s">
        <v>222</v>
      </c>
      <c r="Q584" t="s">
        <v>3100</v>
      </c>
      <c r="R584" t="s">
        <v>3241</v>
      </c>
      <c r="S584">
        <v>5</v>
      </c>
      <c r="T584" s="2">
        <v>0.05</v>
      </c>
      <c r="U584" t="s">
        <v>3242</v>
      </c>
      <c r="V584" t="str">
        <f>CHOOSE(MOD(SalesData[[#This Row],[Row ID]]-1,8)+1,"Aarav Sharma","Ananya Singh","Rohan Verma","Priya Gupta","Arjun Mehta","Neha Kapoor","Rahul Joshi","Sneha Patel")</f>
        <v>Neha Kapoor</v>
      </c>
      <c r="W58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84" s="8">
        <f>IFERROR(VALUE(SUBSTITUTE(SUBSTITUTE(SalesData[[#This Row],[Profit]],"$",""),",",""))/VALUE(SUBSTITUTE(SUBSTITUTE(SalesData[[#This Row],[Sales]],"$",""),",","")),0)</f>
        <v>8.4923831202941683E-2</v>
      </c>
      <c r="Y584" s="6">
        <f>IFERROR(VALUE(SUBSTITUTE(SUBSTITUTE(SalesData[[#This Row],[Sales]],"$",""),",",""))/SalesData[[#This Row],[Quantity]],0)</f>
        <v>34.266000000000005</v>
      </c>
      <c r="Z584">
        <f>YEAR(SalesData[[#This Row],[Order Date]])</f>
        <v>2024</v>
      </c>
      <c r="AA584" t="str">
        <f>TEXT(SalesData[[#This Row],[Order Date]],"mmm")</f>
        <v>Nov</v>
      </c>
      <c r="AB58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85" spans="1:28">
      <c r="A585">
        <v>76</v>
      </c>
      <c r="B585" t="s">
        <v>3243</v>
      </c>
      <c r="C585" s="1">
        <v>45631</v>
      </c>
      <c r="D585" s="1">
        <v>45634</v>
      </c>
      <c r="E585" t="s">
        <v>36</v>
      </c>
      <c r="F585" t="s">
        <v>3244</v>
      </c>
      <c r="G585" t="s">
        <v>103</v>
      </c>
      <c r="H585" t="s">
        <v>39</v>
      </c>
      <c r="I585" t="s">
        <v>26</v>
      </c>
      <c r="J585" t="s">
        <v>72</v>
      </c>
      <c r="K585" t="s">
        <v>72</v>
      </c>
      <c r="L585">
        <v>36660</v>
      </c>
      <c r="M585" t="s">
        <v>73</v>
      </c>
      <c r="N585" t="s">
        <v>800</v>
      </c>
      <c r="O585" t="s">
        <v>43</v>
      </c>
      <c r="P585" t="s">
        <v>128</v>
      </c>
      <c r="Q585" t="s">
        <v>3209</v>
      </c>
      <c r="R585" t="s">
        <v>3245</v>
      </c>
      <c r="S585">
        <v>1</v>
      </c>
      <c r="T585" s="2">
        <v>0.5</v>
      </c>
      <c r="U585" t="s">
        <v>3246</v>
      </c>
      <c r="V585" t="str">
        <f>CHOOSE(MOD(SalesData[[#This Row],[Row ID]]-1,8)+1,"Aarav Sharma","Ananya Singh","Rohan Verma","Priya Gupta","Arjun Mehta","Neha Kapoor","Rahul Joshi","Sneha Patel")</f>
        <v>Priya Gupta</v>
      </c>
      <c r="W58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85" s="8">
        <f>IFERROR(VALUE(SUBSTITUTE(SUBSTITUTE(SalesData[[#This Row],[Profit]],"$",""),",",""))/VALUE(SUBSTITUTE(SUBSTITUTE(SalesData[[#This Row],[Sales]],"$",""),",","")),0)</f>
        <v>-0.16025917926565875</v>
      </c>
      <c r="Y585" s="6">
        <f>IFERROR(VALUE(SUBSTITUTE(SUBSTITUTE(SalesData[[#This Row],[Sales]],"$",""),",",""))/SalesData[[#This Row],[Quantity]],0)</f>
        <v>46.3</v>
      </c>
      <c r="Z585">
        <f>YEAR(SalesData[[#This Row],[Order Date]])</f>
        <v>2024</v>
      </c>
      <c r="AA585" t="str">
        <f>TEXT(SalesData[[#This Row],[Order Date]],"mmm")</f>
        <v>Dec</v>
      </c>
      <c r="AB58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86" spans="1:28">
      <c r="A586">
        <v>222</v>
      </c>
      <c r="B586" t="s">
        <v>3247</v>
      </c>
      <c r="C586" s="1">
        <v>45633</v>
      </c>
      <c r="D586" s="1">
        <v>45636</v>
      </c>
      <c r="E586" t="s">
        <v>36</v>
      </c>
      <c r="F586" t="s">
        <v>3248</v>
      </c>
      <c r="G586" t="s">
        <v>750</v>
      </c>
      <c r="H586" t="s">
        <v>25</v>
      </c>
      <c r="I586" t="s">
        <v>26</v>
      </c>
      <c r="J586" t="s">
        <v>96</v>
      </c>
      <c r="K586" t="s">
        <v>96</v>
      </c>
      <c r="L586">
        <v>24026</v>
      </c>
      <c r="M586" t="s">
        <v>28</v>
      </c>
      <c r="N586" t="s">
        <v>3249</v>
      </c>
      <c r="O586" t="s">
        <v>43</v>
      </c>
      <c r="P586" t="s">
        <v>128</v>
      </c>
      <c r="Q586" t="s">
        <v>2340</v>
      </c>
      <c r="R586" t="s">
        <v>3250</v>
      </c>
      <c r="S586">
        <v>5</v>
      </c>
      <c r="T586" s="2">
        <v>0.5</v>
      </c>
      <c r="U586" t="s">
        <v>3251</v>
      </c>
      <c r="V586" t="str">
        <f>CHOOSE(MOD(SalesData[[#This Row],[Row ID]]-1,8)+1,"Aarav Sharma","Ananya Singh","Rohan Verma","Priya Gupta","Arjun Mehta","Neha Kapoor","Rahul Joshi","Sneha Patel")</f>
        <v>Neha Kapoor</v>
      </c>
      <c r="W58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86" s="8">
        <f>IFERROR(VALUE(SUBSTITUTE(SUBSTITUTE(SalesData[[#This Row],[Profit]],"$",""),",",""))/VALUE(SUBSTITUTE(SUBSTITUTE(SalesData[[#This Row],[Sales]],"$",""),",","")),0)</f>
        <v>-0.10961388960870692</v>
      </c>
      <c r="Y586" s="6">
        <f>IFERROR(VALUE(SUBSTITUTE(SUBSTITUTE(SalesData[[#This Row],[Sales]],"$",""),",",""))/SalesData[[#This Row],[Quantity]],0)</f>
        <v>7.7180000000000009</v>
      </c>
      <c r="Z586">
        <f>YEAR(SalesData[[#This Row],[Order Date]])</f>
        <v>2024</v>
      </c>
      <c r="AA586" t="str">
        <f>TEXT(SalesData[[#This Row],[Order Date]],"mmm")</f>
        <v>Dec</v>
      </c>
      <c r="AB58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87" spans="1:28">
      <c r="A587">
        <v>319</v>
      </c>
      <c r="B587" t="s">
        <v>3252</v>
      </c>
      <c r="C587" s="1">
        <v>45634</v>
      </c>
      <c r="D587" s="1">
        <v>45639</v>
      </c>
      <c r="E587" t="s">
        <v>49</v>
      </c>
      <c r="F587" t="s">
        <v>3253</v>
      </c>
      <c r="G587" t="s">
        <v>844</v>
      </c>
      <c r="H587" t="s">
        <v>60</v>
      </c>
      <c r="I587" t="s">
        <v>26</v>
      </c>
      <c r="J587" t="s">
        <v>40</v>
      </c>
      <c r="K587" t="s">
        <v>40</v>
      </c>
      <c r="L587">
        <v>20681</v>
      </c>
      <c r="M587" t="s">
        <v>41</v>
      </c>
      <c r="N587" t="s">
        <v>2654</v>
      </c>
      <c r="O587" t="s">
        <v>64</v>
      </c>
      <c r="P587" t="s">
        <v>105</v>
      </c>
      <c r="Q587" t="s">
        <v>2043</v>
      </c>
      <c r="R587" t="s">
        <v>3254</v>
      </c>
      <c r="S587">
        <v>5</v>
      </c>
      <c r="T587" s="2">
        <v>0.2</v>
      </c>
      <c r="U587" t="s">
        <v>3255</v>
      </c>
      <c r="V587" t="str">
        <f>CHOOSE(MOD(SalesData[[#This Row],[Row ID]]-1,8)+1,"Aarav Sharma","Ananya Singh","Rohan Verma","Priya Gupta","Arjun Mehta","Neha Kapoor","Rahul Joshi","Sneha Patel")</f>
        <v>Rahul Joshi</v>
      </c>
      <c r="W58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587" s="8">
        <f>IFERROR(VALUE(SUBSTITUTE(SUBSTITUTE(SalesData[[#This Row],[Profit]],"$",""),",",""))/VALUE(SUBSTITUTE(SUBSTITUTE(SalesData[[#This Row],[Sales]],"$",""),",","")),0)</f>
        <v>8.8362293205701797E-2</v>
      </c>
      <c r="Y587" s="6">
        <f>IFERROR(VALUE(SUBSTITUTE(SUBSTITUTE(SalesData[[#This Row],[Sales]],"$",""),",",""))/SalesData[[#This Row],[Quantity]],0)</f>
        <v>76.888000000000005</v>
      </c>
      <c r="Z587">
        <f>YEAR(SalesData[[#This Row],[Order Date]])</f>
        <v>2024</v>
      </c>
      <c r="AA587" t="str">
        <f>TEXT(SalesData[[#This Row],[Order Date]],"mmm")</f>
        <v>Dec</v>
      </c>
      <c r="AB58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88" spans="1:28">
      <c r="A588">
        <v>453</v>
      </c>
      <c r="B588" t="s">
        <v>3256</v>
      </c>
      <c r="C588" s="1">
        <v>45636</v>
      </c>
      <c r="D588" s="1">
        <v>45640</v>
      </c>
      <c r="E588" t="s">
        <v>49</v>
      </c>
      <c r="F588" t="s">
        <v>3257</v>
      </c>
      <c r="G588" t="s">
        <v>1452</v>
      </c>
      <c r="H588" t="s">
        <v>39</v>
      </c>
      <c r="I588" t="s">
        <v>26</v>
      </c>
      <c r="J588" t="s">
        <v>27</v>
      </c>
      <c r="K588" t="s">
        <v>27</v>
      </c>
      <c r="L588">
        <v>22516</v>
      </c>
      <c r="M588" t="s">
        <v>28</v>
      </c>
      <c r="N588" t="s">
        <v>3258</v>
      </c>
      <c r="O588" t="s">
        <v>43</v>
      </c>
      <c r="P588" t="s">
        <v>166</v>
      </c>
      <c r="Q588" t="s">
        <v>2031</v>
      </c>
      <c r="R588" t="s">
        <v>3259</v>
      </c>
      <c r="S588">
        <v>3</v>
      </c>
      <c r="T588" s="2">
        <v>0.3</v>
      </c>
      <c r="U588" t="s">
        <v>664</v>
      </c>
      <c r="V588" t="str">
        <f>CHOOSE(MOD(SalesData[[#This Row],[Row ID]]-1,8)+1,"Aarav Sharma","Ananya Singh","Rohan Verma","Priya Gupta","Arjun Mehta","Neha Kapoor","Rahul Joshi","Sneha Patel")</f>
        <v>Arjun Mehta</v>
      </c>
      <c r="W58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North</v>
      </c>
      <c r="X588" s="8">
        <f>IFERROR(VALUE(SUBSTITUTE(SUBSTITUTE(SalesData[[#This Row],[Profit]],"$",""),",",""))/VALUE(SUBSTITUTE(SUBSTITUTE(SalesData[[#This Row],[Sales]],"$",""),",","")),0)</f>
        <v>-7.0327190673185408E-2</v>
      </c>
      <c r="Y588" s="6">
        <f>IFERROR(VALUE(SUBSTITUTE(SUBSTITUTE(SalesData[[#This Row],[Sales]],"$",""),",",""))/SalesData[[#This Row],[Quantity]],0)</f>
        <v>35.453333333333333</v>
      </c>
      <c r="Z588">
        <f>YEAR(SalesData[[#This Row],[Order Date]])</f>
        <v>2024</v>
      </c>
      <c r="AA588" t="str">
        <f>TEXT(SalesData[[#This Row],[Order Date]],"mmm")</f>
        <v>Dec</v>
      </c>
      <c r="AB58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89" spans="1:28">
      <c r="A589">
        <v>459</v>
      </c>
      <c r="B589" t="s">
        <v>3260</v>
      </c>
      <c r="C589" s="1">
        <v>45641</v>
      </c>
      <c r="D589" s="1">
        <v>45644</v>
      </c>
      <c r="E589" t="s">
        <v>36</v>
      </c>
      <c r="F589" t="s">
        <v>3261</v>
      </c>
      <c r="G589" t="s">
        <v>1212</v>
      </c>
      <c r="H589" t="s">
        <v>39</v>
      </c>
      <c r="I589" t="s">
        <v>26</v>
      </c>
      <c r="J589" t="s">
        <v>237</v>
      </c>
      <c r="K589" t="s">
        <v>237</v>
      </c>
      <c r="L589">
        <v>34853</v>
      </c>
      <c r="M589" t="s">
        <v>41</v>
      </c>
      <c r="N589" t="s">
        <v>2869</v>
      </c>
      <c r="O589" t="s">
        <v>30</v>
      </c>
      <c r="P589" t="s">
        <v>197</v>
      </c>
      <c r="Q589" t="s">
        <v>1020</v>
      </c>
      <c r="R589" t="s">
        <v>3262</v>
      </c>
      <c r="S589">
        <v>2</v>
      </c>
      <c r="T589" s="2">
        <v>0</v>
      </c>
      <c r="U589" t="s">
        <v>3263</v>
      </c>
      <c r="V589" t="str">
        <f>CHOOSE(MOD(SalesData[[#This Row],[Row ID]]-1,8)+1,"Aarav Sharma","Ananya Singh","Rohan Verma","Priya Gupta","Arjun Mehta","Neha Kapoor","Rahul Joshi","Sneha Patel")</f>
        <v>Rohan Verma</v>
      </c>
      <c r="W58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589" s="8">
        <f>IFERROR(VALUE(SUBSTITUTE(SUBSTITUTE(SalesData[[#This Row],[Profit]],"$",""),",",""))/VALUE(SUBSTITUTE(SUBSTITUTE(SalesData[[#This Row],[Sales]],"$",""),",","")),0)</f>
        <v>9.7814712219144367E-2</v>
      </c>
      <c r="Y589" s="6">
        <f>IFERROR(VALUE(SUBSTITUTE(SUBSTITUTE(SalesData[[#This Row],[Sales]],"$",""),",",""))/SalesData[[#This Row],[Quantity]],0)</f>
        <v>81.224999999999994</v>
      </c>
      <c r="Z589">
        <f>YEAR(SalesData[[#This Row],[Order Date]])</f>
        <v>2024</v>
      </c>
      <c r="AA589" t="str">
        <f>TEXT(SalesData[[#This Row],[Order Date]],"mmm")</f>
        <v>Dec</v>
      </c>
      <c r="AB58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90" spans="1:28">
      <c r="A590">
        <v>430</v>
      </c>
      <c r="B590" t="s">
        <v>3264</v>
      </c>
      <c r="C590" s="1">
        <v>45642</v>
      </c>
      <c r="D590" s="1">
        <v>45647</v>
      </c>
      <c r="E590" t="s">
        <v>36</v>
      </c>
      <c r="F590" t="s">
        <v>3265</v>
      </c>
      <c r="G590" t="s">
        <v>511</v>
      </c>
      <c r="H590" t="s">
        <v>25</v>
      </c>
      <c r="I590" t="s">
        <v>26</v>
      </c>
      <c r="J590" t="s">
        <v>40</v>
      </c>
      <c r="K590" t="s">
        <v>40</v>
      </c>
      <c r="L590">
        <v>34124</v>
      </c>
      <c r="M590" t="s">
        <v>41</v>
      </c>
      <c r="N590" t="s">
        <v>1799</v>
      </c>
      <c r="O590" t="s">
        <v>30</v>
      </c>
      <c r="P590" t="s">
        <v>197</v>
      </c>
      <c r="Q590" t="s">
        <v>2052</v>
      </c>
      <c r="R590" t="s">
        <v>3266</v>
      </c>
      <c r="S590">
        <v>2</v>
      </c>
      <c r="T590" s="2">
        <v>0</v>
      </c>
      <c r="U590" t="s">
        <v>3267</v>
      </c>
      <c r="V590" t="str">
        <f>CHOOSE(MOD(SalesData[[#This Row],[Row ID]]-1,8)+1,"Aarav Sharma","Ananya Singh","Rohan Verma","Priya Gupta","Arjun Mehta","Neha Kapoor","Rahul Joshi","Sneha Patel")</f>
        <v>Neha Kapoor</v>
      </c>
      <c r="W59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90" s="8">
        <f>IFERROR(VALUE(SUBSTITUTE(SUBSTITUTE(SalesData[[#This Row],[Profit]],"$",""),",",""))/VALUE(SUBSTITUTE(SUBSTITUTE(SalesData[[#This Row],[Sales]],"$",""),",","")),0)</f>
        <v>0.15055691388209724</v>
      </c>
      <c r="Y590" s="6">
        <f>IFERROR(VALUE(SUBSTITUTE(SUBSTITUTE(SalesData[[#This Row],[Sales]],"$",""),",",""))/SalesData[[#This Row],[Quantity]],0)</f>
        <v>92.025000000000006</v>
      </c>
      <c r="Z590">
        <f>YEAR(SalesData[[#This Row],[Order Date]])</f>
        <v>2024</v>
      </c>
      <c r="AA590" t="str">
        <f>TEXT(SalesData[[#This Row],[Order Date]],"mmm")</f>
        <v>Dec</v>
      </c>
      <c r="AB59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91" spans="1:28">
      <c r="A591">
        <v>184</v>
      </c>
      <c r="B591" t="s">
        <v>3268</v>
      </c>
      <c r="C591" s="1">
        <v>45643</v>
      </c>
      <c r="D591" s="1">
        <v>45648</v>
      </c>
      <c r="E591" t="s">
        <v>49</v>
      </c>
      <c r="F591" t="s">
        <v>3269</v>
      </c>
      <c r="G591" t="s">
        <v>471</v>
      </c>
      <c r="H591" t="s">
        <v>60</v>
      </c>
      <c r="I591" t="s">
        <v>26</v>
      </c>
      <c r="J591" t="s">
        <v>212</v>
      </c>
      <c r="K591" t="s">
        <v>212</v>
      </c>
      <c r="L591">
        <v>12871</v>
      </c>
      <c r="M591" t="s">
        <v>28</v>
      </c>
      <c r="N591" t="s">
        <v>3270</v>
      </c>
      <c r="O591" t="s">
        <v>30</v>
      </c>
      <c r="P591" t="s">
        <v>197</v>
      </c>
      <c r="Q591" t="s">
        <v>789</v>
      </c>
      <c r="R591" t="s">
        <v>3271</v>
      </c>
      <c r="S591">
        <v>1</v>
      </c>
      <c r="T591" s="2">
        <v>0</v>
      </c>
      <c r="U591" t="s">
        <v>3272</v>
      </c>
      <c r="V591" t="str">
        <f>CHOOSE(MOD(SalesData[[#This Row],[Row ID]]-1,8)+1,"Aarav Sharma","Ananya Singh","Rohan Verma","Priya Gupta","Arjun Mehta","Neha Kapoor","Rahul Joshi","Sneha Patel")</f>
        <v>Sneha Patel</v>
      </c>
      <c r="W59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91" s="8">
        <f>IFERROR(VALUE(SUBSTITUTE(SUBSTITUTE(SalesData[[#This Row],[Profit]],"$",""),",",""))/VALUE(SUBSTITUTE(SUBSTITUTE(SalesData[[#This Row],[Sales]],"$",""),",","")),0)</f>
        <v>0.10617876424715056</v>
      </c>
      <c r="Y591" s="6">
        <f>IFERROR(VALUE(SUBSTITUTE(SUBSTITUTE(SalesData[[#This Row],[Sales]],"$",""),",",""))/SalesData[[#This Row],[Quantity]],0)</f>
        <v>33.340000000000003</v>
      </c>
      <c r="Z591">
        <f>YEAR(SalesData[[#This Row],[Order Date]])</f>
        <v>2024</v>
      </c>
      <c r="AA591" t="str">
        <f>TEXT(SalesData[[#This Row],[Order Date]],"mmm")</f>
        <v>Dec</v>
      </c>
      <c r="AB59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92" spans="1:28">
      <c r="A592">
        <v>235</v>
      </c>
      <c r="B592" t="s">
        <v>3273</v>
      </c>
      <c r="C592" s="1">
        <v>45643</v>
      </c>
      <c r="D592" s="1">
        <v>45645</v>
      </c>
      <c r="E592" t="s">
        <v>22</v>
      </c>
      <c r="F592" t="s">
        <v>3274</v>
      </c>
      <c r="G592" t="s">
        <v>959</v>
      </c>
      <c r="H592" t="s">
        <v>39</v>
      </c>
      <c r="I592" t="s">
        <v>26</v>
      </c>
      <c r="J592" t="s">
        <v>260</v>
      </c>
      <c r="K592" t="s">
        <v>260</v>
      </c>
      <c r="L592">
        <v>62509</v>
      </c>
      <c r="M592" t="s">
        <v>41</v>
      </c>
      <c r="N592" t="s">
        <v>3184</v>
      </c>
      <c r="O592" t="s">
        <v>30</v>
      </c>
      <c r="P592" t="s">
        <v>197</v>
      </c>
      <c r="Q592" t="s">
        <v>2509</v>
      </c>
      <c r="R592" t="s">
        <v>3275</v>
      </c>
      <c r="S592">
        <v>5</v>
      </c>
      <c r="T592" s="2">
        <v>0.15</v>
      </c>
      <c r="U592" t="s">
        <v>92</v>
      </c>
      <c r="V592" t="str">
        <f>CHOOSE(MOD(SalesData[[#This Row],[Row ID]]-1,8)+1,"Aarav Sharma","Ananya Singh","Rohan Verma","Priya Gupta","Arjun Mehta","Neha Kapoor","Rahul Joshi","Sneha Patel")</f>
        <v>Rohan Verma</v>
      </c>
      <c r="W592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592" s="8">
        <f>IFERROR(VALUE(SUBSTITUTE(SUBSTITUTE(SalesData[[#This Row],[Profit]],"$",""),",",""))/VALUE(SUBSTITUTE(SUBSTITUTE(SalesData[[#This Row],[Sales]],"$",""),",","")),0)</f>
        <v>5.1781906792567776E-3</v>
      </c>
      <c r="Y592" s="6">
        <f>IFERROR(VALUE(SUBSTITUTE(SUBSTITUTE(SalesData[[#This Row],[Sales]],"$",""),",",""))/SalesData[[#This Row],[Quantity]],0)</f>
        <v>19.698</v>
      </c>
      <c r="Z592">
        <f>YEAR(SalesData[[#This Row],[Order Date]])</f>
        <v>2024</v>
      </c>
      <c r="AA592" t="str">
        <f>TEXT(SalesData[[#This Row],[Order Date]],"mmm")</f>
        <v>Dec</v>
      </c>
      <c r="AB592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93" spans="1:28">
      <c r="A593">
        <v>110</v>
      </c>
      <c r="B593" t="s">
        <v>3276</v>
      </c>
      <c r="C593" s="1">
        <v>45645</v>
      </c>
      <c r="D593" s="1">
        <v>45648</v>
      </c>
      <c r="E593" t="s">
        <v>36</v>
      </c>
      <c r="F593" t="s">
        <v>3277</v>
      </c>
      <c r="G593" t="s">
        <v>713</v>
      </c>
      <c r="H593" t="s">
        <v>25</v>
      </c>
      <c r="I593" t="s">
        <v>26</v>
      </c>
      <c r="J593" t="s">
        <v>260</v>
      </c>
      <c r="K593" t="s">
        <v>260</v>
      </c>
      <c r="L593">
        <v>16406</v>
      </c>
      <c r="M593" t="s">
        <v>41</v>
      </c>
      <c r="N593" t="s">
        <v>3278</v>
      </c>
      <c r="O593" t="s">
        <v>30</v>
      </c>
      <c r="P593" t="s">
        <v>222</v>
      </c>
      <c r="Q593" t="s">
        <v>3070</v>
      </c>
      <c r="R593" t="s">
        <v>3279</v>
      </c>
      <c r="S593">
        <v>7</v>
      </c>
      <c r="T593" s="2">
        <v>0.05</v>
      </c>
      <c r="U593" t="s">
        <v>305</v>
      </c>
      <c r="V593" t="str">
        <f>CHOOSE(MOD(SalesData[[#This Row],[Row ID]]-1,8)+1,"Aarav Sharma","Ananya Singh","Rohan Verma","Priya Gupta","Arjun Mehta","Neha Kapoor","Rahul Joshi","Sneha Patel")</f>
        <v>Neha Kapoor</v>
      </c>
      <c r="W593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93" s="8">
        <f>IFERROR(VALUE(SUBSTITUTE(SUBSTITUTE(SalesData[[#This Row],[Profit]],"$",""),",",""))/VALUE(SUBSTITUTE(SUBSTITUTE(SalesData[[#This Row],[Sales]],"$",""),",","")),0)</f>
        <v>0.16933243539018433</v>
      </c>
      <c r="Y593" s="6">
        <f>IFERROR(VALUE(SUBSTITUTE(SUBSTITUTE(SalesData[[#This Row],[Sales]],"$",""),",",""))/SalesData[[#This Row],[Quantity]],0)</f>
        <v>33.940000000000005</v>
      </c>
      <c r="Z593">
        <f>YEAR(SalesData[[#This Row],[Order Date]])</f>
        <v>2024</v>
      </c>
      <c r="AA593" t="str">
        <f>TEXT(SalesData[[#This Row],[Order Date]],"mmm")</f>
        <v>Dec</v>
      </c>
      <c r="AB593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94" spans="1:28">
      <c r="A594">
        <v>484</v>
      </c>
      <c r="B594" t="s">
        <v>3280</v>
      </c>
      <c r="C594" s="1">
        <v>45647</v>
      </c>
      <c r="D594" s="1">
        <v>45650</v>
      </c>
      <c r="E594" t="s">
        <v>36</v>
      </c>
      <c r="F594" t="s">
        <v>730</v>
      </c>
      <c r="G594" t="s">
        <v>994</v>
      </c>
      <c r="H594" t="s">
        <v>39</v>
      </c>
      <c r="I594" t="s">
        <v>26</v>
      </c>
      <c r="J594" t="s">
        <v>81</v>
      </c>
      <c r="K594" t="s">
        <v>81</v>
      </c>
      <c r="L594">
        <v>76433</v>
      </c>
      <c r="M594" t="s">
        <v>62</v>
      </c>
      <c r="N594" t="s">
        <v>738</v>
      </c>
      <c r="O594" t="s">
        <v>30</v>
      </c>
      <c r="P594" t="s">
        <v>197</v>
      </c>
      <c r="Q594" t="s">
        <v>2063</v>
      </c>
      <c r="R594" t="s">
        <v>3281</v>
      </c>
      <c r="S594">
        <v>6</v>
      </c>
      <c r="T594" s="2">
        <v>0.3</v>
      </c>
      <c r="U594" t="s">
        <v>3282</v>
      </c>
      <c r="V594" t="str">
        <f>CHOOSE(MOD(SalesData[[#This Row],[Row ID]]-1,8)+1,"Aarav Sharma","Ananya Singh","Rohan Verma","Priya Gupta","Arjun Mehta","Neha Kapoor","Rahul Joshi","Sneha Patel")</f>
        <v>Priya Gupta</v>
      </c>
      <c r="W594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94" s="8">
        <f>IFERROR(VALUE(SUBSTITUTE(SUBSTITUTE(SalesData[[#This Row],[Profit]],"$",""),",",""))/VALUE(SUBSTITUTE(SUBSTITUTE(SalesData[[#This Row],[Sales]],"$",""),",","")),0)</f>
        <v>-3.7477171592458267E-2</v>
      </c>
      <c r="Y594" s="6">
        <f>IFERROR(VALUE(SUBSTITUTE(SUBSTITUTE(SalesData[[#This Row],[Sales]],"$",""),",",""))/SalesData[[#This Row],[Quantity]],0)</f>
        <v>129.59</v>
      </c>
      <c r="Z594">
        <f>YEAR(SalesData[[#This Row],[Order Date]])</f>
        <v>2024</v>
      </c>
      <c r="AA594" t="str">
        <f>TEXT(SalesData[[#This Row],[Order Date]],"mmm")</f>
        <v>Dec</v>
      </c>
      <c r="AB594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95" spans="1:28">
      <c r="A595">
        <v>214</v>
      </c>
      <c r="B595" t="s">
        <v>3283</v>
      </c>
      <c r="C595" s="1">
        <v>45647</v>
      </c>
      <c r="D595" s="1">
        <v>45652</v>
      </c>
      <c r="E595" t="s">
        <v>36</v>
      </c>
      <c r="F595" t="s">
        <v>3284</v>
      </c>
      <c r="G595" t="s">
        <v>180</v>
      </c>
      <c r="H595" t="s">
        <v>25</v>
      </c>
      <c r="I595" t="s">
        <v>26</v>
      </c>
      <c r="J595" t="s">
        <v>173</v>
      </c>
      <c r="K595" t="s">
        <v>173</v>
      </c>
      <c r="L595">
        <v>87299</v>
      </c>
      <c r="M595" t="s">
        <v>73</v>
      </c>
      <c r="N595" t="s">
        <v>1630</v>
      </c>
      <c r="O595" t="s">
        <v>30</v>
      </c>
      <c r="P595" t="s">
        <v>120</v>
      </c>
      <c r="Q595" t="s">
        <v>3285</v>
      </c>
      <c r="R595" t="s">
        <v>3286</v>
      </c>
      <c r="S595">
        <v>1</v>
      </c>
      <c r="T595" s="2">
        <v>0.15</v>
      </c>
      <c r="U595" t="s">
        <v>3287</v>
      </c>
      <c r="V595" t="str">
        <f>CHOOSE(MOD(SalesData[[#This Row],[Row ID]]-1,8)+1,"Aarav Sharma","Ananya Singh","Rohan Verma","Priya Gupta","Arjun Mehta","Neha Kapoor","Rahul Joshi","Sneha Patel")</f>
        <v>Neha Kapoor</v>
      </c>
      <c r="W595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95" s="8">
        <f>IFERROR(VALUE(SUBSTITUTE(SUBSTITUTE(SalesData[[#This Row],[Profit]],"$",""),",",""))/VALUE(SUBSTITUTE(SUBSTITUTE(SalesData[[#This Row],[Sales]],"$",""),",","")),0)</f>
        <v>0.10420617134976728</v>
      </c>
      <c r="Y595" s="6">
        <f>IFERROR(VALUE(SUBSTITUTE(SUBSTITUTE(SalesData[[#This Row],[Sales]],"$",""),",",""))/SalesData[[#This Row],[Quantity]],0)</f>
        <v>348.06</v>
      </c>
      <c r="Z595">
        <f>YEAR(SalesData[[#This Row],[Order Date]])</f>
        <v>2024</v>
      </c>
      <c r="AA595" t="str">
        <f>TEXT(SalesData[[#This Row],[Order Date]],"mmm")</f>
        <v>Dec</v>
      </c>
      <c r="AB595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596" spans="1:28">
      <c r="A596">
        <v>239</v>
      </c>
      <c r="B596" t="s">
        <v>3288</v>
      </c>
      <c r="C596" s="1">
        <v>45648</v>
      </c>
      <c r="D596" s="1">
        <v>45649</v>
      </c>
      <c r="E596" t="s">
        <v>36</v>
      </c>
      <c r="F596" t="s">
        <v>3289</v>
      </c>
      <c r="G596" t="s">
        <v>731</v>
      </c>
      <c r="H596" t="s">
        <v>39</v>
      </c>
      <c r="I596" t="s">
        <v>26</v>
      </c>
      <c r="J596" t="s">
        <v>40</v>
      </c>
      <c r="K596" t="s">
        <v>40</v>
      </c>
      <c r="L596">
        <v>87475</v>
      </c>
      <c r="M596" t="s">
        <v>41</v>
      </c>
      <c r="N596" t="s">
        <v>3290</v>
      </c>
      <c r="O596" t="s">
        <v>30</v>
      </c>
      <c r="P596" t="s">
        <v>31</v>
      </c>
      <c r="Q596" t="s">
        <v>582</v>
      </c>
      <c r="R596" t="s">
        <v>3291</v>
      </c>
      <c r="S596">
        <v>7</v>
      </c>
      <c r="T596" s="2">
        <v>0.2</v>
      </c>
      <c r="U596" t="s">
        <v>3292</v>
      </c>
      <c r="V596" t="str">
        <f>CHOOSE(MOD(SalesData[[#This Row],[Row ID]]-1,8)+1,"Aarav Sharma","Ananya Singh","Rohan Verma","Priya Gupta","Arjun Mehta","Neha Kapoor","Rahul Joshi","Sneha Patel")</f>
        <v>Rahul Joshi</v>
      </c>
      <c r="W596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East</v>
      </c>
      <c r="X596" s="8">
        <f>IFERROR(VALUE(SUBSTITUTE(SUBSTITUTE(SalesData[[#This Row],[Profit]],"$",""),",",""))/VALUE(SUBSTITUTE(SUBSTITUTE(SalesData[[#This Row],[Sales]],"$",""),",","")),0)</f>
        <v>-0.10376908396946563</v>
      </c>
      <c r="Y596" s="6">
        <f>IFERROR(VALUE(SUBSTITUTE(SUBSTITUTE(SalesData[[#This Row],[Sales]],"$",""),",",""))/SalesData[[#This Row],[Quantity]],0)</f>
        <v>23.954285714285714</v>
      </c>
      <c r="Z596">
        <f>YEAR(SalesData[[#This Row],[Order Date]])</f>
        <v>2024</v>
      </c>
      <c r="AA596" t="str">
        <f>TEXT(SalesData[[#This Row],[Order Date]],"mmm")</f>
        <v>Dec</v>
      </c>
      <c r="AB596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97" spans="1:28">
      <c r="A597">
        <v>336</v>
      </c>
      <c r="B597" t="s">
        <v>3293</v>
      </c>
      <c r="C597" s="1">
        <v>45648</v>
      </c>
      <c r="D597" s="1">
        <v>45652</v>
      </c>
      <c r="E597" t="s">
        <v>36</v>
      </c>
      <c r="F597" t="s">
        <v>3294</v>
      </c>
      <c r="G597" t="s">
        <v>568</v>
      </c>
      <c r="H597" t="s">
        <v>25</v>
      </c>
      <c r="I597" t="s">
        <v>26</v>
      </c>
      <c r="J597" t="s">
        <v>81</v>
      </c>
      <c r="K597" t="s">
        <v>81</v>
      </c>
      <c r="L597">
        <v>67104</v>
      </c>
      <c r="M597" t="s">
        <v>62</v>
      </c>
      <c r="N597" t="s">
        <v>1939</v>
      </c>
      <c r="O597" t="s">
        <v>64</v>
      </c>
      <c r="P597" t="s">
        <v>105</v>
      </c>
      <c r="Q597" t="s">
        <v>2852</v>
      </c>
      <c r="R597" t="s">
        <v>3295</v>
      </c>
      <c r="S597">
        <v>2</v>
      </c>
      <c r="T597" s="2">
        <v>0.4</v>
      </c>
      <c r="U597" t="s">
        <v>3296</v>
      </c>
      <c r="V597" t="str">
        <f>CHOOSE(MOD(SalesData[[#This Row],[Row ID]]-1,8)+1,"Aarav Sharma","Ananya Singh","Rohan Verma","Priya Gupta","Arjun Mehta","Neha Kapoor","Rahul Joshi","Sneha Patel")</f>
        <v>Sneha Patel</v>
      </c>
      <c r="W597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97" s="8">
        <f>IFERROR(VALUE(SUBSTITUTE(SUBSTITUTE(SalesData[[#This Row],[Profit]],"$",""),",",""))/VALUE(SUBSTITUTE(SUBSTITUTE(SalesData[[#This Row],[Sales]],"$",""),",","")),0)</f>
        <v>-4.912614552556463E-2</v>
      </c>
      <c r="Y597" s="6">
        <f>IFERROR(VALUE(SUBSTITUTE(SUBSTITUTE(SalesData[[#This Row],[Sales]],"$",""),",",""))/SalesData[[#This Row],[Quantity]],0)</f>
        <v>199.69</v>
      </c>
      <c r="Z597">
        <f>YEAR(SalesData[[#This Row],[Order Date]])</f>
        <v>2024</v>
      </c>
      <c r="AA597" t="str">
        <f>TEXT(SalesData[[#This Row],[Order Date]],"mmm")</f>
        <v>Dec</v>
      </c>
      <c r="AB597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Needs Improvement</v>
      </c>
    </row>
    <row r="598" spans="1:28">
      <c r="A598">
        <v>472</v>
      </c>
      <c r="B598" t="s">
        <v>3297</v>
      </c>
      <c r="C598" s="1">
        <v>45650</v>
      </c>
      <c r="D598" s="1">
        <v>45653</v>
      </c>
      <c r="E598" t="s">
        <v>36</v>
      </c>
      <c r="F598" t="s">
        <v>3298</v>
      </c>
      <c r="G598" t="s">
        <v>1265</v>
      </c>
      <c r="H598" t="s">
        <v>39</v>
      </c>
      <c r="I598" t="s">
        <v>26</v>
      </c>
      <c r="J598" t="s">
        <v>72</v>
      </c>
      <c r="K598" t="s">
        <v>72</v>
      </c>
      <c r="L598">
        <v>69949</v>
      </c>
      <c r="M598" t="s">
        <v>73</v>
      </c>
      <c r="N598" t="s">
        <v>3299</v>
      </c>
      <c r="O598" t="s">
        <v>30</v>
      </c>
      <c r="P598" t="s">
        <v>31</v>
      </c>
      <c r="Q598" t="s">
        <v>386</v>
      </c>
      <c r="R598" t="s">
        <v>3300</v>
      </c>
      <c r="S598">
        <v>3</v>
      </c>
      <c r="T598" s="2">
        <v>0</v>
      </c>
      <c r="U598" t="s">
        <v>3301</v>
      </c>
      <c r="V598" t="str">
        <f>CHOOSE(MOD(SalesData[[#This Row],[Row ID]]-1,8)+1,"Aarav Sharma","Ananya Singh","Rohan Verma","Priya Gupta","Arjun Mehta","Neha Kapoor","Rahul Joshi","Sneha Patel")</f>
        <v>Sneha Patel</v>
      </c>
      <c r="W598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West</v>
      </c>
      <c r="X598" s="8">
        <f>IFERROR(VALUE(SUBSTITUTE(SUBSTITUTE(SalesData[[#This Row],[Profit]],"$",""),",",""))/VALUE(SUBSTITUTE(SUBSTITUTE(SalesData[[#This Row],[Sales]],"$",""),",","")),0)</f>
        <v>0.15727378068050141</v>
      </c>
      <c r="Y598" s="6">
        <f>IFERROR(VALUE(SUBSTITUTE(SUBSTITUTE(SalesData[[#This Row],[Sales]],"$",""),",",""))/SalesData[[#This Row],[Quantity]],0)</f>
        <v>31.643333333333334</v>
      </c>
      <c r="Z598">
        <f>YEAR(SalesData[[#This Row],[Order Date]])</f>
        <v>2024</v>
      </c>
      <c r="AA598" t="str">
        <f>TEXT(SalesData[[#This Row],[Order Date]],"mmm")</f>
        <v>Dec</v>
      </c>
      <c r="AB598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599" spans="1:28">
      <c r="A599">
        <v>230</v>
      </c>
      <c r="B599" t="s">
        <v>3302</v>
      </c>
      <c r="C599" s="1">
        <v>45650</v>
      </c>
      <c r="D599" s="1">
        <v>45653</v>
      </c>
      <c r="E599" t="s">
        <v>36</v>
      </c>
      <c r="F599" t="s">
        <v>3303</v>
      </c>
      <c r="G599" t="s">
        <v>1358</v>
      </c>
      <c r="H599" t="s">
        <v>25</v>
      </c>
      <c r="I599" t="s">
        <v>26</v>
      </c>
      <c r="J599" t="s">
        <v>237</v>
      </c>
      <c r="K599" t="s">
        <v>237</v>
      </c>
      <c r="L599">
        <v>68870</v>
      </c>
      <c r="M599" t="s">
        <v>41</v>
      </c>
      <c r="N599" t="s">
        <v>3304</v>
      </c>
      <c r="O599" t="s">
        <v>43</v>
      </c>
      <c r="P599" t="s">
        <v>128</v>
      </c>
      <c r="Q599" t="s">
        <v>685</v>
      </c>
      <c r="R599" t="s">
        <v>3305</v>
      </c>
      <c r="S599">
        <v>2</v>
      </c>
      <c r="T599" s="2">
        <v>0.2</v>
      </c>
      <c r="U599" t="s">
        <v>3306</v>
      </c>
      <c r="V599" t="str">
        <f>CHOOSE(MOD(SalesData[[#This Row],[Row ID]]-1,8)+1,"Aarav Sharma","Ananya Singh","Rohan Verma","Priya Gupta","Arjun Mehta","Neha Kapoor","Rahul Joshi","Sneha Patel")</f>
        <v>Neha Kapoor</v>
      </c>
      <c r="W599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599" s="8">
        <f>IFERROR(VALUE(SUBSTITUTE(SUBSTITUTE(SalesData[[#This Row],[Profit]],"$",""),",",""))/VALUE(SUBSTITUTE(SUBSTITUTE(SalesData[[#This Row],[Sales]],"$",""),",","")),0)</f>
        <v>7.6687898089171966E-2</v>
      </c>
      <c r="Y599" s="6">
        <f>IFERROR(VALUE(SUBSTITUTE(SUBSTITUTE(SalesData[[#This Row],[Sales]],"$",""),",",""))/SalesData[[#This Row],[Quantity]],0)</f>
        <v>39.25</v>
      </c>
      <c r="Z599">
        <f>YEAR(SalesData[[#This Row],[Order Date]])</f>
        <v>2024</v>
      </c>
      <c r="AA599" t="str">
        <f>TEXT(SalesData[[#This Row],[Order Date]],"mmm")</f>
        <v>Dec</v>
      </c>
      <c r="AB599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Average Performer</v>
      </c>
    </row>
    <row r="600" spans="1:28">
      <c r="A600">
        <v>478</v>
      </c>
      <c r="B600" t="s">
        <v>3307</v>
      </c>
      <c r="C600" s="1">
        <v>45652</v>
      </c>
      <c r="D600" s="1">
        <v>45654</v>
      </c>
      <c r="E600" t="s">
        <v>49</v>
      </c>
      <c r="F600" t="s">
        <v>3059</v>
      </c>
      <c r="G600" t="s">
        <v>1519</v>
      </c>
      <c r="H600" t="s">
        <v>25</v>
      </c>
      <c r="I600" t="s">
        <v>26</v>
      </c>
      <c r="J600" t="s">
        <v>204</v>
      </c>
      <c r="K600" t="s">
        <v>204</v>
      </c>
      <c r="L600">
        <v>42430</v>
      </c>
      <c r="M600" t="s">
        <v>28</v>
      </c>
      <c r="N600" t="s">
        <v>3308</v>
      </c>
      <c r="O600" t="s">
        <v>30</v>
      </c>
      <c r="P600" t="s">
        <v>120</v>
      </c>
      <c r="Q600" t="s">
        <v>1112</v>
      </c>
      <c r="R600" t="s">
        <v>3309</v>
      </c>
      <c r="S600">
        <v>7</v>
      </c>
      <c r="T600" s="2">
        <v>0</v>
      </c>
      <c r="U600" t="s">
        <v>3310</v>
      </c>
      <c r="V600" t="str">
        <f>CHOOSE(MOD(SalesData[[#This Row],[Row ID]]-1,8)+1,"Aarav Sharma","Ananya Singh","Rohan Verma","Priya Gupta","Arjun Mehta","Neha Kapoor","Rahul Joshi","Sneha Patel")</f>
        <v>Neha Kapoor</v>
      </c>
      <c r="W600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600" s="8">
        <f>IFERROR(VALUE(SUBSTITUTE(SUBSTITUTE(SalesData[[#This Row],[Profit]],"$",""),",",""))/VALUE(SUBSTITUTE(SUBSTITUTE(SalesData[[#This Row],[Sales]],"$",""),",","")),0)</f>
        <v>0.17357705454005051</v>
      </c>
      <c r="Y600" s="6">
        <f>IFERROR(VALUE(SUBSTITUTE(SUBSTITUTE(SalesData[[#This Row],[Sales]],"$",""),",",""))/SalesData[[#This Row],[Quantity]],0)</f>
        <v>9.612857142857143</v>
      </c>
      <c r="Z600">
        <f>YEAR(SalesData[[#This Row],[Order Date]])</f>
        <v>2024</v>
      </c>
      <c r="AA600" t="str">
        <f>TEXT(SalesData[[#This Row],[Order Date]],"mmm")</f>
        <v>Dec</v>
      </c>
      <c r="AB600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  <row r="601" spans="1:28">
      <c r="A601">
        <v>294</v>
      </c>
      <c r="B601" t="s">
        <v>3311</v>
      </c>
      <c r="C601" s="1">
        <v>45654</v>
      </c>
      <c r="D601" s="1">
        <v>45657</v>
      </c>
      <c r="E601" t="s">
        <v>22</v>
      </c>
      <c r="F601" t="s">
        <v>3312</v>
      </c>
      <c r="G601" t="s">
        <v>1110</v>
      </c>
      <c r="H601" t="s">
        <v>39</v>
      </c>
      <c r="I601" t="s">
        <v>26</v>
      </c>
      <c r="J601" t="s">
        <v>204</v>
      </c>
      <c r="K601" t="s">
        <v>204</v>
      </c>
      <c r="L601">
        <v>69658</v>
      </c>
      <c r="M601" t="s">
        <v>28</v>
      </c>
      <c r="N601" t="s">
        <v>3313</v>
      </c>
      <c r="O601" t="s">
        <v>64</v>
      </c>
      <c r="P601" t="s">
        <v>405</v>
      </c>
      <c r="Q601" t="s">
        <v>2599</v>
      </c>
      <c r="R601" t="s">
        <v>3314</v>
      </c>
      <c r="S601">
        <v>3</v>
      </c>
      <c r="T601" s="2">
        <v>0</v>
      </c>
      <c r="U601" t="s">
        <v>3315</v>
      </c>
      <c r="V601" t="str">
        <f>CHOOSE(MOD(SalesData[[#This Row],[Row ID]]-1,8)+1,"Aarav Sharma","Ananya Singh","Rohan Verma","Priya Gupta","Arjun Mehta","Neha Kapoor","Rahul Joshi","Sneha Patel")</f>
        <v>Neha Kapoor</v>
      </c>
      <c r="W601" t="str">
        <f>IF(SalesData[[#This Row],[Salesperson]]="Aarav Sharma","North",IF(SalesData[[#This Row],[Salesperson]]="Ananya Singh","South",IF(SalesData[[#This Row],[Salesperson]]="Rohan Verma","East",IF(SalesData[[#This Row],[Salesperson]]="Priya Gupta","West",IF(SalesData[[#This Row],[Salesperson]]="Arjun Mehta","North",IF(SalesData[[#This Row],[Salesperson]]="Neha Kapoor","South",IF(SalesData[[#This Row],[Salesperson]]="Rahul Joshi","East","West")))))))</f>
        <v>South</v>
      </c>
      <c r="X601" s="8">
        <f>IFERROR(VALUE(SUBSTITUTE(SUBSTITUTE(SalesData[[#This Row],[Profit]],"$",""),",",""))/VALUE(SUBSTITUTE(SUBSTITUTE(SalesData[[#This Row],[Sales]],"$",""),",","")),0)</f>
        <v>0.2952970525732237</v>
      </c>
      <c r="Y601" s="6">
        <f>IFERROR(VALUE(SUBSTITUTE(SUBSTITUTE(SalesData[[#This Row],[Sales]],"$",""),",",""))/SalesData[[#This Row],[Quantity]],0)</f>
        <v>36.076666666666668</v>
      </c>
      <c r="Z601">
        <f>YEAR(SalesData[[#This Row],[Order Date]])</f>
        <v>2024</v>
      </c>
      <c r="AA601" t="str">
        <f>TEXT(SalesData[[#This Row],[Order Date]],"mmm")</f>
        <v>Dec</v>
      </c>
      <c r="AB601" t="str">
        <f>IF(AND(SalesData[[#This Row],[Profit Margin %]]&gt;=0.15,SalesData[[#This Row],[Profit]]&gt;0),"High Performer",IF(AND(SalesData[[#This Row],[Profit Margin %]]&gt;=0.05,SalesData[[#This Row],[Profit]]&gt;=0),"Average Performer","Needs Improvement"))</f>
        <v>High Performer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F0BF-66DE-4E64-8403-5B290189860D}">
  <dimension ref="A1:M9"/>
  <sheetViews>
    <sheetView topLeftCell="F1" workbookViewId="0">
      <selection activeCell="L1" activeCellId="2" sqref="A1:A9 K1:K9 L1:L9"/>
    </sheetView>
  </sheetViews>
  <sheetFormatPr defaultRowHeight="14.5"/>
  <cols>
    <col min="1" max="1" width="16.54296875" customWidth="1"/>
    <col min="2" max="2" width="11.6328125" customWidth="1"/>
    <col min="3" max="3" width="14.7265625" style="11" customWidth="1"/>
    <col min="4" max="4" width="16" style="12" customWidth="1"/>
    <col min="5" max="5" width="13.1796875" style="4" customWidth="1"/>
    <col min="6" max="6" width="13.6328125" customWidth="1"/>
    <col min="7" max="7" width="14.36328125" style="11" customWidth="1"/>
    <col min="8" max="8" width="15.81640625" bestFit="1" customWidth="1"/>
    <col min="9" max="9" width="15.81640625" customWidth="1"/>
    <col min="10" max="10" width="15" customWidth="1"/>
    <col min="11" max="11" width="14.453125" customWidth="1"/>
    <col min="12" max="12" width="14.7265625" customWidth="1"/>
    <col min="13" max="13" width="13.54296875" customWidth="1"/>
  </cols>
  <sheetData>
    <row r="1" spans="1:13" ht="16" customHeight="1">
      <c r="A1" s="13" t="s">
        <v>3316</v>
      </c>
      <c r="B1" s="13" t="s">
        <v>3317</v>
      </c>
      <c r="C1" s="14" t="s">
        <v>3323</v>
      </c>
      <c r="D1" s="15" t="s">
        <v>3324</v>
      </c>
      <c r="E1" s="16" t="s">
        <v>3318</v>
      </c>
      <c r="F1" s="13" t="s">
        <v>3325</v>
      </c>
      <c r="G1" s="14" t="s">
        <v>3326</v>
      </c>
      <c r="H1" s="13" t="s">
        <v>3322</v>
      </c>
      <c r="I1" s="19" t="s">
        <v>3336</v>
      </c>
      <c r="J1" s="19" t="s">
        <v>3337</v>
      </c>
      <c r="K1" s="19" t="s">
        <v>3338</v>
      </c>
      <c r="L1" s="19" t="s">
        <v>3339</v>
      </c>
      <c r="M1" s="19" t="s">
        <v>3340</v>
      </c>
    </row>
    <row r="2" spans="1:13" ht="30" customHeight="1">
      <c r="A2" s="9" t="s">
        <v>3327</v>
      </c>
      <c r="B2" s="10" t="s">
        <v>3335</v>
      </c>
      <c r="C2" s="20" cm="1">
        <f t="array" ref="C2">SUMPRODUCT((SalesData[Salesperson]=A2)*SalesData[Order Value]*SalesData[Quantity])</f>
        <v>13037.390000000003</v>
      </c>
      <c r="D2" s="25" cm="1">
        <f t="array" ref="D2">SUMPRODUCT((SalesData[Salesperson]=A2)*IFERROR(VALUE(SUBSTITUTE(SUBSTITUTE(SalesData[Profit],"$",""),",","")),0))</f>
        <v>1219.1200000000001</v>
      </c>
      <c r="E2" s="21">
        <f>IFERROR(D2/C2,0)</f>
        <v>9.3509513790720367E-2</v>
      </c>
      <c r="F2" s="10">
        <f>SUMIF(SalesData[Salesperson],A2,SalesData[Quantity])</f>
        <v>298</v>
      </c>
      <c r="G2" s="20">
        <f>IFERROR(C2/F2,0)</f>
        <v>43.74963087248323</v>
      </c>
      <c r="H2" s="10" t="str">
        <f>IF(AND(E2&gt;=15%,D2&gt;0),"High Performer",IF(AND(E2&gt;=5%,D2&gt;=0),"Average Performer","Needs Improvement"))</f>
        <v>Average Performer</v>
      </c>
      <c r="I2" s="22">
        <f t="shared" ref="I2:I9" si="0">_xlfn.RANK.EQ(C2,$C$2:$C$9,0)</f>
        <v>1</v>
      </c>
      <c r="J2" s="22">
        <f t="shared" ref="J2:J9" si="1">_xlfn.RANK.EQ(D2,$D$2:$D$9,0)</f>
        <v>3</v>
      </c>
      <c r="K2" s="18" cm="1">
        <f t="array" ref="K2">SUMPRODUCT((SalesData[Salesperson]=A2)*(SalesData[Year]=2022)*SalesData[Order Value]*SalesData[Quantity])</f>
        <v>3647.2200000000003</v>
      </c>
      <c r="L2" s="18" cm="1">
        <f t="array" ref="L2">SUMPRODUCT((SalesData[Salesperson]=A2)*(SalesData[Year]=2023)*SalesData[Order Value]*SalesData[Quantity])</f>
        <v>4689.9599999999991</v>
      </c>
      <c r="M2" s="18">
        <f>IFERROR((L2-K2)/K2,0)</f>
        <v>0.28589994571207628</v>
      </c>
    </row>
    <row r="3" spans="1:13">
      <c r="A3" s="17" t="s">
        <v>3328</v>
      </c>
      <c r="B3" s="22" t="s">
        <v>28</v>
      </c>
      <c r="C3" s="20" cm="1">
        <f t="array" ref="C3">SUMPRODUCT((SalesData[Salesperson]=A3)*SalesData[Order Value]*SalesData[Quantity])</f>
        <v>12664.660000000002</v>
      </c>
      <c r="D3" s="25" cm="1">
        <f t="array" ref="D3">SUMPRODUCT((SalesData[Salesperson]=A3)*IFERROR(VALUE(SUBSTITUTE(SUBSTITUTE(SalesData[Profit],"$",""),",","")),0))</f>
        <v>1147.9399999999996</v>
      </c>
      <c r="E3" s="21">
        <f t="shared" ref="E3:E9" si="2">IFERROR(D3/C3,0)</f>
        <v>9.0641201579829175E-2</v>
      </c>
      <c r="F3" s="10">
        <f>SUMIF(SalesData[Salesperson],A3,SalesData[Quantity])</f>
        <v>331</v>
      </c>
      <c r="G3" s="20">
        <f t="shared" ref="G3:G9" si="3">IFERROR(C3/F3,0)</f>
        <v>38.261812688821756</v>
      </c>
      <c r="H3" s="10" t="str">
        <f t="shared" ref="H3:H9" si="4">IF(AND(E3&gt;=15%,D3&gt;0),"High Performer",IF(AND(E3&gt;=5%,D3&gt;=0),"Average Performer","Needs Improvement"))</f>
        <v>Average Performer</v>
      </c>
      <c r="I3" s="22">
        <f t="shared" si="0"/>
        <v>4</v>
      </c>
      <c r="J3" s="22">
        <f t="shared" si="1"/>
        <v>4</v>
      </c>
      <c r="K3" s="18" cm="1">
        <f t="array" ref="K3">SUMPRODUCT((SalesData[Salesperson]=A3)*(SalesData[Year]=2022)*SalesData[Order Value]*SalesData[Quantity])</f>
        <v>4675.2</v>
      </c>
      <c r="L3" s="18" cm="1">
        <f t="array" ref="L3">SUMPRODUCT((SalesData[Salesperson]=A3)*(SalesData[Year]=2023)*SalesData[Order Value]*SalesData[Quantity])</f>
        <v>4719.1499999999996</v>
      </c>
      <c r="M3" s="18">
        <f t="shared" ref="M3:M9" si="5">IFERROR((L3-K3)/K3,0)</f>
        <v>9.400667351129325E-3</v>
      </c>
    </row>
    <row r="4" spans="1:13">
      <c r="A4" s="17" t="s">
        <v>3329</v>
      </c>
      <c r="B4" s="22" t="s">
        <v>62</v>
      </c>
      <c r="C4" s="20" cm="1">
        <f t="array" ref="C4">SUMPRODUCT((SalesData[Salesperson]=A4)*SalesData[Order Value]*SalesData[Quantity])</f>
        <v>12678.960000000006</v>
      </c>
      <c r="D4" s="25" cm="1">
        <f t="array" ref="D4">SUMPRODUCT((SalesData[Salesperson]=A4)*IFERROR(VALUE(SUBSTITUTE(SUBSTITUTE(SalesData[Profit],"$",""),",","")),0))</f>
        <v>996.67</v>
      </c>
      <c r="E4" s="21">
        <f t="shared" si="2"/>
        <v>7.8608182374579574E-2</v>
      </c>
      <c r="F4" s="10">
        <f>SUMIF(SalesData[Salesperson],A4,SalesData[Quantity])</f>
        <v>288</v>
      </c>
      <c r="G4" s="20">
        <f t="shared" si="3"/>
        <v>44.024166666666687</v>
      </c>
      <c r="H4" s="10" t="str">
        <f t="shared" si="4"/>
        <v>Average Performer</v>
      </c>
      <c r="I4" s="22">
        <f t="shared" si="0"/>
        <v>3</v>
      </c>
      <c r="J4" s="22">
        <f t="shared" si="1"/>
        <v>6</v>
      </c>
      <c r="K4" s="18" cm="1">
        <f t="array" ref="K4">SUMPRODUCT((SalesData[Salesperson]=A4)*(SalesData[Year]=2022)*SalesData[Order Value]*SalesData[Quantity])</f>
        <v>5379.7800000000007</v>
      </c>
      <c r="L4" s="18" cm="1">
        <f t="array" ref="L4">SUMPRODUCT((SalesData[Salesperson]=A4)*(SalesData[Year]=2023)*SalesData[Order Value]*SalesData[Quantity])</f>
        <v>3377.3999999999996</v>
      </c>
      <c r="M4" s="18">
        <f t="shared" si="5"/>
        <v>-0.37220481134916311</v>
      </c>
    </row>
    <row r="5" spans="1:13">
      <c r="A5" s="17" t="s">
        <v>3330</v>
      </c>
      <c r="B5" s="22" t="s">
        <v>73</v>
      </c>
      <c r="C5" s="20" cm="1">
        <f t="array" ref="C5">SUMPRODUCT((SalesData[Salesperson]=A5)*SalesData[Order Value]*SalesData[Quantity])</f>
        <v>12864.340000000004</v>
      </c>
      <c r="D5" s="25" cm="1">
        <f t="array" ref="D5">SUMPRODUCT((SalesData[Salesperson]=A5)*IFERROR(VALUE(SUBSTITUTE(SUBSTITUTE(SalesData[Profit],"$",""),",","")),0))</f>
        <v>1436.2499999999998</v>
      </c>
      <c r="E5" s="21">
        <f t="shared" si="2"/>
        <v>0.11164583647509312</v>
      </c>
      <c r="F5" s="10">
        <f>SUMIF(SalesData[Salesperson],A5,SalesData[Quantity])</f>
        <v>278</v>
      </c>
      <c r="G5" s="20">
        <f t="shared" si="3"/>
        <v>46.274604316546778</v>
      </c>
      <c r="H5" s="10" t="str">
        <f t="shared" si="4"/>
        <v>Average Performer</v>
      </c>
      <c r="I5" s="22">
        <f t="shared" si="0"/>
        <v>2</v>
      </c>
      <c r="J5" s="22">
        <f t="shared" si="1"/>
        <v>1</v>
      </c>
      <c r="K5" s="18" cm="1">
        <f t="array" ref="K5">SUMPRODUCT((SalesData[Salesperson]=A5)*(SalesData[Year]=2022)*SalesData[Order Value]*SalesData[Quantity])</f>
        <v>3124.2200000000003</v>
      </c>
      <c r="L5" s="18" cm="1">
        <f t="array" ref="L5">SUMPRODUCT((SalesData[Salesperson]=A5)*(SalesData[Year]=2023)*SalesData[Order Value]*SalesData[Quantity])</f>
        <v>4290.7000000000007</v>
      </c>
      <c r="M5" s="18">
        <f t="shared" si="5"/>
        <v>0.37336679235137105</v>
      </c>
    </row>
    <row r="6" spans="1:13">
      <c r="A6" s="17" t="s">
        <v>3331</v>
      </c>
      <c r="B6" s="22" t="s">
        <v>3335</v>
      </c>
      <c r="C6" s="20" cm="1">
        <f t="array" ref="C6">SUMPRODUCT((SalesData[Salesperson]=A6)*SalesData[Order Value]*SalesData[Quantity])</f>
        <v>10782.710000000003</v>
      </c>
      <c r="D6" s="25" cm="1">
        <f t="array" ref="D6">SUMPRODUCT((SalesData[Salesperson]=A6)*IFERROR(VALUE(SUBSTITUTE(SUBSTITUTE(SalesData[Profit],"$",""),",","")),0))</f>
        <v>999.62999999999988</v>
      </c>
      <c r="E6" s="21">
        <f t="shared" si="2"/>
        <v>9.2706749972873204E-2</v>
      </c>
      <c r="F6" s="10">
        <f>SUMIF(SalesData[Salesperson],A6,SalesData[Quantity])</f>
        <v>307</v>
      </c>
      <c r="G6" s="20">
        <f t="shared" si="3"/>
        <v>35.122833876221506</v>
      </c>
      <c r="H6" s="10" t="str">
        <f t="shared" si="4"/>
        <v>Average Performer</v>
      </c>
      <c r="I6" s="22">
        <f t="shared" si="0"/>
        <v>7</v>
      </c>
      <c r="J6" s="22">
        <f t="shared" si="1"/>
        <v>5</v>
      </c>
      <c r="K6" s="18" cm="1">
        <f t="array" ref="K6">SUMPRODUCT((SalesData[Salesperson]=A6)*(SalesData[Year]=2022)*SalesData[Order Value]*SalesData[Quantity])</f>
        <v>5726.0599999999995</v>
      </c>
      <c r="L6" s="18" cm="1">
        <f t="array" ref="L6">SUMPRODUCT((SalesData[Salesperson]=A6)*(SalesData[Year]=2023)*SalesData[Order Value]*SalesData[Quantity])</f>
        <v>2050.84</v>
      </c>
      <c r="M6" s="18">
        <f t="shared" si="5"/>
        <v>-0.64184098664701372</v>
      </c>
    </row>
    <row r="7" spans="1:13">
      <c r="A7" s="17" t="s">
        <v>3332</v>
      </c>
      <c r="B7" s="22" t="s">
        <v>28</v>
      </c>
      <c r="C7" s="20" cm="1">
        <f t="array" ref="C7">SUMPRODUCT((SalesData[Salesperson]=A7)*SalesData[Order Value]*SalesData[Quantity])</f>
        <v>11133.209999999995</v>
      </c>
      <c r="D7" s="25" cm="1">
        <f t="array" ref="D7">SUMPRODUCT((SalesData[Salesperson]=A7)*IFERROR(VALUE(SUBSTITUTE(SUBSTITUTE(SalesData[Profit],"$",""),",","")),0))</f>
        <v>1296.5400000000006</v>
      </c>
      <c r="E7" s="21">
        <f t="shared" si="2"/>
        <v>0.11645697871503377</v>
      </c>
      <c r="F7" s="10">
        <f>SUMIF(SalesData[Salesperson],A7,SalesData[Quantity])</f>
        <v>270</v>
      </c>
      <c r="G7" s="20">
        <f t="shared" si="3"/>
        <v>41.234111111111098</v>
      </c>
      <c r="H7" s="10" t="str">
        <f t="shared" si="4"/>
        <v>Average Performer</v>
      </c>
      <c r="I7" s="22">
        <f t="shared" si="0"/>
        <v>6</v>
      </c>
      <c r="J7" s="22">
        <f t="shared" si="1"/>
        <v>2</v>
      </c>
      <c r="K7" s="18" cm="1">
        <f t="array" ref="K7">SUMPRODUCT((SalesData[Salesperson]=A7)*(SalesData[Year]=2022)*SalesData[Order Value]*SalesData[Quantity])</f>
        <v>2382.0099999999998</v>
      </c>
      <c r="L7" s="18" cm="1">
        <f t="array" ref="L7">SUMPRODUCT((SalesData[Salesperson]=A7)*(SalesData[Year]=2023)*SalesData[Order Value]*SalesData[Quantity])</f>
        <v>4414.63</v>
      </c>
      <c r="M7" s="18">
        <f t="shared" si="5"/>
        <v>0.85332135465426284</v>
      </c>
    </row>
    <row r="8" spans="1:13">
      <c r="A8" s="17" t="s">
        <v>3333</v>
      </c>
      <c r="B8" s="22" t="s">
        <v>62</v>
      </c>
      <c r="C8" s="20" cm="1">
        <f t="array" ref="C8">SUMPRODUCT((SalesData[Salesperson]=A8)*SalesData[Order Value]*SalesData[Quantity])</f>
        <v>10643.54</v>
      </c>
      <c r="D8" s="25" cm="1">
        <f t="array" ref="D8">SUMPRODUCT((SalesData[Salesperson]=A8)*IFERROR(VALUE(SUBSTITUTE(SUBSTITUTE(SalesData[Profit],"$",""),",","")),0))</f>
        <v>670.23</v>
      </c>
      <c r="E8" s="21">
        <f t="shared" si="2"/>
        <v>6.2970590611770141E-2</v>
      </c>
      <c r="F8" s="10">
        <f>SUMIF(SalesData[Salesperson],A8,SalesData[Quantity])</f>
        <v>308</v>
      </c>
      <c r="G8" s="20">
        <f t="shared" si="3"/>
        <v>34.556948051948055</v>
      </c>
      <c r="H8" s="10" t="str">
        <f t="shared" si="4"/>
        <v>Average Performer</v>
      </c>
      <c r="I8" s="22">
        <f t="shared" si="0"/>
        <v>8</v>
      </c>
      <c r="J8" s="22">
        <f t="shared" si="1"/>
        <v>8</v>
      </c>
      <c r="K8" s="18" cm="1">
        <f t="array" ref="K8">SUMPRODUCT((SalesData[Salesperson]=A8)*(SalesData[Year]=2022)*SalesData[Order Value]*SalesData[Quantity])</f>
        <v>3132.3199999999997</v>
      </c>
      <c r="L8" s="18" cm="1">
        <f t="array" ref="L8">SUMPRODUCT((SalesData[Salesperson]=A8)*(SalesData[Year]=2023)*SalesData[Order Value]*SalesData[Quantity])</f>
        <v>3132.29</v>
      </c>
      <c r="M8" s="18">
        <f t="shared" si="5"/>
        <v>-9.5775655104667931E-6</v>
      </c>
    </row>
    <row r="9" spans="1:13">
      <c r="A9" s="17" t="s">
        <v>3334</v>
      </c>
      <c r="B9" s="22" t="s">
        <v>73</v>
      </c>
      <c r="C9" s="20" cm="1">
        <f t="array" ref="C9">SUMPRODUCT((SalesData[Salesperson]=A9)*SalesData[Order Value]*SalesData[Quantity])</f>
        <v>11368.280000000004</v>
      </c>
      <c r="D9" s="25" cm="1">
        <f t="array" ref="D9">SUMPRODUCT((SalesData[Salesperson]=A9)*IFERROR(VALUE(SUBSTITUTE(SUBSTITUTE(SalesData[Profit],"$",""),",","")),0))</f>
        <v>802.89</v>
      </c>
      <c r="E9" s="21">
        <f t="shared" si="2"/>
        <v>7.0625459612184055E-2</v>
      </c>
      <c r="F9" s="10">
        <f>SUMIF(SalesData[Salesperson],A9,SalesData[Quantity])</f>
        <v>281</v>
      </c>
      <c r="G9" s="20">
        <f t="shared" si="3"/>
        <v>40.456512455516027</v>
      </c>
      <c r="H9" s="10" t="str">
        <f t="shared" si="4"/>
        <v>Average Performer</v>
      </c>
      <c r="I9" s="22">
        <f t="shared" si="0"/>
        <v>5</v>
      </c>
      <c r="J9" s="22">
        <f t="shared" si="1"/>
        <v>7</v>
      </c>
      <c r="K9" s="18" cm="1">
        <f t="array" ref="K9">SUMPRODUCT((SalesData[Salesperson]=A9)*(SalesData[Year]=2022)*SalesData[Order Value]*SalesData[Quantity])</f>
        <v>2962.4100000000008</v>
      </c>
      <c r="L9" s="18" cm="1">
        <f t="array" ref="L9">SUMPRODUCT((SalesData[Salesperson]=A9)*(SalesData[Year]=2023)*SalesData[Order Value]*SalesData[Quantity])</f>
        <v>4672.3100000000004</v>
      </c>
      <c r="M9" s="18">
        <f t="shared" si="5"/>
        <v>0.57719896975773077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72AB-3569-49F8-B6F5-D1E021D04A09}">
  <dimension ref="A1:Z15"/>
  <sheetViews>
    <sheetView showGridLines="0" tabSelected="1" topLeftCell="A2" zoomScale="75" workbookViewId="0">
      <selection activeCell="V16" sqref="V16"/>
    </sheetView>
  </sheetViews>
  <sheetFormatPr defaultRowHeight="14.5"/>
  <sheetData>
    <row r="1" spans="1:26" ht="23.5">
      <c r="A1" s="24" t="s">
        <v>3341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6"/>
      <c r="V1" s="26"/>
    </row>
    <row r="3" spans="1:26" ht="18.5">
      <c r="A3" s="30" t="s">
        <v>3342</v>
      </c>
      <c r="B3" s="31"/>
      <c r="C3" s="31"/>
      <c r="D3" s="32"/>
      <c r="F3" s="30" t="s">
        <v>3343</v>
      </c>
      <c r="G3" s="31"/>
      <c r="H3" s="31"/>
      <c r="I3" s="32"/>
      <c r="K3" s="44" t="s">
        <v>3344</v>
      </c>
      <c r="L3" s="45"/>
      <c r="M3" s="45"/>
      <c r="N3" s="45"/>
      <c r="P3" s="44" t="s">
        <v>3345</v>
      </c>
      <c r="Q3" s="45"/>
      <c r="R3" s="45"/>
      <c r="S3" s="45"/>
      <c r="T3" s="45"/>
      <c r="Z3" s="53"/>
    </row>
    <row r="4" spans="1:26" ht="21.5" customHeight="1">
      <c r="A4" s="33">
        <f>SUM(Salesperson_Summary!C2:C9)</f>
        <v>95173.09</v>
      </c>
      <c r="B4" s="34"/>
      <c r="C4" s="34"/>
      <c r="D4" s="35"/>
      <c r="F4" s="36">
        <f>SUM(Salesperson_Summary!D2:D9)</f>
        <v>8569.27</v>
      </c>
      <c r="G4" s="37"/>
      <c r="H4" s="37"/>
      <c r="I4" s="38"/>
      <c r="K4" s="50">
        <f>IFERROR(SUM(Salesperson_Summary!D2:D9)/SUM(Salesperson_Summary!C2:C9),0)</f>
        <v>9.0038791427282661E-2</v>
      </c>
      <c r="L4" s="51"/>
      <c r="M4" s="51"/>
      <c r="N4" s="52"/>
      <c r="P4" s="46">
        <f>SUM(Salesperson_Summary!F2:F9)</f>
        <v>2361</v>
      </c>
      <c r="Q4" s="47"/>
      <c r="R4" s="47"/>
      <c r="S4" s="47"/>
      <c r="T4" s="47"/>
    </row>
    <row r="6" spans="1:26" ht="18.5">
      <c r="A6" s="30" t="s">
        <v>3346</v>
      </c>
      <c r="B6" s="31"/>
      <c r="C6" s="31"/>
      <c r="D6" s="32"/>
      <c r="F6" s="30" t="s">
        <v>3347</v>
      </c>
      <c r="G6" s="31"/>
      <c r="H6" s="31"/>
      <c r="I6" s="32"/>
      <c r="K6" s="30" t="s">
        <v>3348</v>
      </c>
      <c r="L6" s="31"/>
      <c r="M6" s="31"/>
      <c r="N6" s="32"/>
      <c r="P6" s="42" t="s">
        <v>3349</v>
      </c>
      <c r="Q6" s="42"/>
      <c r="R6" s="42"/>
      <c r="S6" s="42"/>
      <c r="T6" s="43"/>
    </row>
    <row r="7" spans="1:26" ht="18" customHeight="1">
      <c r="A7" s="33">
        <f>IFERROR(SUM(Salesperson_Summary!C2:C9)/SUM(Salesperson_Summary!F2:F9),0)</f>
        <v>40.310499788225329</v>
      </c>
      <c r="B7" s="34"/>
      <c r="C7" s="34"/>
      <c r="D7" s="35"/>
      <c r="F7" s="39" t="str">
        <f>INDEX(Salesperson_Summary!A2:A9,MATCH(MAX(Salesperson_Summary!C2:C9),Salesperson_Summary!C2:C9,0))</f>
        <v>Aarav Sharma</v>
      </c>
      <c r="G7" s="40"/>
      <c r="H7" s="40"/>
      <c r="I7" s="41"/>
      <c r="K7" s="39" t="str">
        <f>INDEX(Salesperson_Summary!A2:A9,MATCH(MAX(Salesperson_Summary!D2:D9),Salesperson_Summary!D2:D9,0))</f>
        <v>Priya Gupta</v>
      </c>
      <c r="L7" s="40"/>
      <c r="M7" s="40"/>
      <c r="N7" s="41"/>
      <c r="P7" s="48">
        <f>AVERAGE(Salesperson_Summary!M2:M9)</f>
        <v>0.13564154428311037</v>
      </c>
      <c r="Q7" s="48"/>
      <c r="R7" s="48"/>
      <c r="S7" s="48"/>
      <c r="T7" s="49"/>
    </row>
    <row r="15" spans="1:26">
      <c r="H15" s="23"/>
    </row>
  </sheetData>
  <mergeCells count="17">
    <mergeCell ref="P6:T6"/>
    <mergeCell ref="P7:T7"/>
    <mergeCell ref="K3:N3"/>
    <mergeCell ref="K4:N4"/>
    <mergeCell ref="A1:T1"/>
    <mergeCell ref="P3:T3"/>
    <mergeCell ref="P4:T4"/>
    <mergeCell ref="A6:D6"/>
    <mergeCell ref="A7:D7"/>
    <mergeCell ref="F6:I6"/>
    <mergeCell ref="F7:I7"/>
    <mergeCell ref="K6:N6"/>
    <mergeCell ref="K7:N7"/>
    <mergeCell ref="A3:D3"/>
    <mergeCell ref="A4:D4"/>
    <mergeCell ref="F3:I3"/>
    <mergeCell ref="F4:I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FC7E-A5AB-4191-9AD2-A9030B5B0781}">
  <dimension ref="A1:B5"/>
  <sheetViews>
    <sheetView workbookViewId="0"/>
  </sheetViews>
  <sheetFormatPr defaultRowHeight="14.5"/>
  <cols>
    <col min="1" max="1" width="21.08984375" customWidth="1"/>
    <col min="2" max="2" width="30.453125" customWidth="1"/>
  </cols>
  <sheetData>
    <row r="1" spans="1:2" ht="23.5">
      <c r="A1" s="27" t="s">
        <v>3317</v>
      </c>
      <c r="B1" s="27" t="s">
        <v>3323</v>
      </c>
    </row>
    <row r="2" spans="1:2" ht="27.5" customHeight="1">
      <c r="A2" s="28" t="s">
        <v>3335</v>
      </c>
      <c r="B2" s="29">
        <f>SUMIF(Salesperson_Summary!B$2:B$9,A2,Salesperson_Summary!C$2:C$9)</f>
        <v>23820.100000000006</v>
      </c>
    </row>
    <row r="3" spans="1:2" ht="31" customHeight="1">
      <c r="A3" s="28" t="s">
        <v>28</v>
      </c>
      <c r="B3" s="28">
        <f>SUMIF(Salesperson_Summary!B$2:B$9,A3,Salesperson_Summary!C$2:C$9)</f>
        <v>23797.869999999995</v>
      </c>
    </row>
    <row r="4" spans="1:2" ht="34.5" customHeight="1">
      <c r="A4" s="28" t="s">
        <v>62</v>
      </c>
      <c r="B4" s="29">
        <f>SUMIF(Salesperson_Summary!B$2:B$9,A4,Salesperson_Summary!C$2:C$9)</f>
        <v>23322.500000000007</v>
      </c>
    </row>
    <row r="5" spans="1:2" ht="34" customHeight="1">
      <c r="A5" s="28" t="s">
        <v>73</v>
      </c>
      <c r="B5" s="28">
        <f>SUMIF(Salesperson_Summary!B$2:B$9,A5,Salesperson_Summary!C$2:C$9)</f>
        <v>24232.62000000001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Analysis_Data</vt:lpstr>
      <vt:lpstr>Salesperson_Summary</vt:lpstr>
      <vt:lpstr>Dashboard</vt:lpstr>
      <vt:lpstr>Territory_Summary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sharma</dc:creator>
  <cp:lastModifiedBy>madhur sharma</cp:lastModifiedBy>
  <dcterms:created xsi:type="dcterms:W3CDTF">2026-10-04T10:52:29Z</dcterms:created>
  <dcterms:modified xsi:type="dcterms:W3CDTF">2026-10-04T13:46:34Z</dcterms:modified>
</cp:coreProperties>
</file>